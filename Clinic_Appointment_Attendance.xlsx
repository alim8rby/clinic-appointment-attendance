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Work\Portfolio\ChatGPT Data Masterclass\"/>
    </mc:Choice>
  </mc:AlternateContent>
  <xr:revisionPtr revIDLastSave="0" documentId="13_ncr:1_{8C36A723-DBA5-4758-BE18-2CC1B302D2A4}" xr6:coauthVersionLast="47" xr6:coauthVersionMax="47" xr10:uidLastSave="{00000000-0000-0000-0000-000000000000}"/>
  <bookViews>
    <workbookView xWindow="-108" yWindow="-108" windowWidth="23256" windowHeight="12456" activeTab="3" xr2:uid="{CB6DA369-48B0-4607-AF35-608DB50E0064}"/>
  </bookViews>
  <sheets>
    <sheet name="Report" sheetId="18" r:id="rId1"/>
    <sheet name="SourceTable" sheetId="4" r:id="rId2"/>
    <sheet name="CleanAppointments" sheetId="10" r:id="rId3"/>
    <sheet name="NewAppointments" sheetId="16" r:id="rId4"/>
    <sheet name="StatusReviewQueue" sheetId="11" r:id="rId5"/>
    <sheet name="DuplicatePatientIDs" sheetId="14" r:id="rId6"/>
    <sheet name="DuplicateAppointmentIDs" sheetId="12" r:id="rId7"/>
    <sheet name="UnmatchedPatients" sheetId="15" r:id="rId8"/>
    <sheet name="Sheet1" sheetId="1" r:id="rId9"/>
    <sheet name="Sheet2" sheetId="2" r:id="rId10"/>
    <sheet name="Sheet5" sheetId="5" r:id="rId11"/>
    <sheet name="Sheet6" sheetId="6" r:id="rId12"/>
    <sheet name="Sheet9" sheetId="9" r:id="rId13"/>
    <sheet name="Sheet12" sheetId="17" r:id="rId14"/>
  </sheets>
  <definedNames>
    <definedName name="_xlcn.WorksheetConnection_Book1Table11" hidden="1">Table1[]</definedName>
    <definedName name="ExternalData_1" localSheetId="2" hidden="1">'CleanAppointments'!$A$1:$G$16</definedName>
    <definedName name="ExternalData_1" localSheetId="5" hidden="1">DuplicatePatientIDs!$A$1:$B$2</definedName>
    <definedName name="ExternalData_2" localSheetId="6" hidden="1">DuplicateAppointmentIDs!$A$1:$B$2</definedName>
    <definedName name="ExternalData_2" localSheetId="4" hidden="1">StatusReviewQueue!$A$1:$G$2</definedName>
    <definedName name="ExternalData_2" localSheetId="7" hidden="1">UnmatchedPatients!$A$1:$G$2</definedName>
    <definedName name="_xlnm.Print_Area" localSheetId="0">Report!$A$1:$R$24</definedName>
    <definedName name="Slicer_Clinic">#N/A</definedName>
  </definedNames>
  <calcPr calcId="191029"/>
  <pivotCaches>
    <pivotCache cacheId="20" r:id="rId15"/>
    <pivotCache cacheId="25" r:id="rId16"/>
    <pivotCache cacheId="32"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8" l="1"/>
  <c r="D12" i="18"/>
  <c r="C13" i="18"/>
  <c r="C12" i="18"/>
  <c r="B13" i="18"/>
  <c r="B12" i="18"/>
  <c r="D5" i="18"/>
  <c r="C5" i="18"/>
  <c r="B5" i="18"/>
  <c r="A5" i="18"/>
  <c r="L3" i="4"/>
  <c r="L4" i="4"/>
  <c r="L5" i="4"/>
  <c r="L6" i="4"/>
  <c r="L2" i="4"/>
  <c r="E11" i="4"/>
  <c r="E10" i="4"/>
  <c r="E9" i="4"/>
  <c r="E8" i="4"/>
  <c r="E3" i="4"/>
  <c r="E4" i="4"/>
  <c r="E5" i="4"/>
  <c r="E6" i="4"/>
  <c r="E7" i="4"/>
  <c r="E2" i="4"/>
  <c r="H2" i="2"/>
  <c r="F6" i="2"/>
  <c r="F3" i="2"/>
  <c r="F4" i="2"/>
  <c r="F2" i="2"/>
  <c r="E3" i="2"/>
  <c r="E4" i="2"/>
  <c r="E2" i="2"/>
  <c r="G11" i="1"/>
  <c r="G10" i="1"/>
  <c r="G9" i="1"/>
  <c r="G8" i="1"/>
  <c r="G4" i="1"/>
  <c r="G2" i="1"/>
  <c r="D3" i="1"/>
  <c r="E3" i="1"/>
  <c r="G3" i="1" s="1"/>
  <c r="F3" i="1"/>
  <c r="D4" i="1"/>
  <c r="E4" i="1"/>
  <c r="F4" i="1"/>
  <c r="D2" i="1"/>
  <c r="F2" i="1"/>
  <c r="E2" i="1"/>
  <c r="C7" i="18" l="1"/>
  <c r="C8" i="18"/>
  <c r="G6" i="1"/>
  <c r="G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8D1498-2C06-4EBF-88B0-FC0CF15BBE2B}" keepAlive="1" name="Query - CleanAppointments" description="Connection to the 'CleanAppointments' query in the workbook." type="5" refreshedVersion="8" background="1" saveData="1">
    <dbPr connection="Provider=Microsoft.Mashup.OleDb.1;Data Source=$Workbook$;Location=CleanAppointments;Extended Properties=&quot;&quot;" command="SELECT * FROM [CleanAppointments]"/>
  </connection>
  <connection id="2" xr16:uid="{93C1E36D-039A-4CD7-8F53-38A7D741F4B6}" keepAlive="1" name="Query - DateErrors" description="Connection to the 'DateErrors' query in the workbook." type="5" refreshedVersion="0" background="1">
    <dbPr connection="Provider=Microsoft.Mashup.OleDb.1;Data Source=$Workbook$;Location=DateErrors;Extended Properties=&quot;&quot;" command="SELECT * FROM [DateErrors]"/>
  </connection>
  <connection id="3" xr16:uid="{997FD868-250E-4FFB-BBCF-D41D20E6B503}" keepAlive="1" name="Query - DuplicateAppointmentIDs" description="Connection to the 'DuplicateAppointmentIDs' query in the workbook." type="5" refreshedVersion="8" background="1" saveData="1">
    <dbPr connection="Provider=Microsoft.Mashup.OleDb.1;Data Source=$Workbook$;Location=DuplicateAppointmentIDs;Extended Properties=&quot;&quot;" command="SELECT * FROM [DuplicateAppointmentIDs]"/>
  </connection>
  <connection id="4" xr16:uid="{408222FE-B501-4DE5-A46D-77ECDFC497A9}" keepAlive="1" name="Query - DuplicatePatientIDs" description="Connection to the 'DuplicatePatientIDs' query in the workbook." type="5" refreshedVersion="8" background="1" saveData="1">
    <dbPr connection="Provider=Microsoft.Mashup.OleDb.1;Data Source=$Workbook$;Location=DuplicatePatientIDs;Extended Properties=&quot;&quot;" command="SELECT * FROM [DuplicatePatientIDs]"/>
  </connection>
  <connection id="5" xr16:uid="{0DE86726-A47C-4463-8E6B-F93784FB1262}" keepAlive="1" name="Query - NewAppointments" description="Connection to the 'NewAppointments' query in the workbook." type="5" refreshedVersion="0" background="1">
    <dbPr connection="Provider=Microsoft.Mashup.OleDb.1;Data Source=$Workbook$;Location=NewAppointments;Extended Properties=&quot;&quot;" command="SELECT * FROM [NewAppointments]"/>
  </connection>
  <connection id="6" xr16:uid="{1E076607-7FB8-4ED2-BB9C-E7BC90AC312D}" keepAlive="1" name="Query - PatientsLookup" description="Connection to the 'PatientsLookup' query in the workbook." type="5" refreshedVersion="0" background="1">
    <dbPr connection="Provider=Microsoft.Mashup.OleDb.1;Data Source=$Workbook$;Location=PatientsLookup;Extended Properties=&quot;&quot;" command="SELECT * FROM [PatientsLookup]"/>
  </connection>
  <connection id="7" xr16:uid="{6960A25D-6C35-411C-B8D3-543E3F3896F1}" keepAlive="1" name="Query - StatusReviewQueue" description="Connection to the 'StatusReviewQueue' query in the workbook." type="5" refreshedVersion="8" background="1" saveData="1">
    <dbPr connection="Provider=Microsoft.Mashup.OleDb.1;Data Source=$Workbook$;Location=StatusReviewQueue;Extended Properties=&quot;&quot;" command="SELECT * FROM [StatusReviewQueue]"/>
  </connection>
  <connection id="8" xr16:uid="{377D5CE8-E09B-4624-9DB9-342CA6265285}" keepAlive="1" name="Query - UnmatchedPatients" description="Connection to the 'UnmatchedPatients' query in the workbook." type="5" refreshedVersion="8" background="1" saveData="1">
    <dbPr connection="Provider=Microsoft.Mashup.OleDb.1;Data Source=$Workbook$;Location=UnmatchedPatients;Extended Properties=&quot;&quot;" command="SELECT * FROM [UnmatchedPatients]"/>
  </connection>
  <connection id="9" xr16:uid="{FC7BD60C-DD7D-409B-A4D0-5C2788DD032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C5B99B27-4EC5-4BD4-9DE6-E258A29DDA30}" name="WorksheetConnection_Book1!Table1" type="102" refreshedVersion="8" minRefreshableVersion="5">
    <extLst>
      <ext xmlns:x15="http://schemas.microsoft.com/office/spreadsheetml/2010/11/main" uri="{DE250136-89BD-433C-8126-D09CA5730AF9}">
        <x15:connection id="Table1" autoDelete="1">
          <x15:rangePr sourceName="_xlcn.WorksheetConnection_Book1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Status].&amp;[Attended]}"/>
  </metadataStrings>
  <mdxMetadata count="1">
    <mdx n="0" f="s">
      <ms ns="1" c="0"/>
    </mdx>
  </mdxMetadata>
  <valueMetadata count="1">
    <bk>
      <rc t="1" v="0"/>
    </bk>
  </valueMetadata>
</metadata>
</file>

<file path=xl/sharedStrings.xml><?xml version="1.0" encoding="utf-8"?>
<sst xmlns="http://schemas.openxmlformats.org/spreadsheetml/2006/main" count="276" uniqueCount="72">
  <si>
    <t>Attended</t>
  </si>
  <si>
    <t>Did not Attend</t>
  </si>
  <si>
    <t>Unknown</t>
  </si>
  <si>
    <t>Attendance among appointments with known status</t>
  </si>
  <si>
    <t>Percentage of appointments with unknown status</t>
  </si>
  <si>
    <t>Non-attendance among appointments with known status</t>
  </si>
  <si>
    <t>Missing statuses checker</t>
  </si>
  <si>
    <t>Flagged rows</t>
  </si>
  <si>
    <t>Total the unknown appointments in flagged rows</t>
  </si>
  <si>
    <t>Flagged rows when more than 5 unknown appointments</t>
  </si>
  <si>
    <t>Flagged if unknown apps. are at least 10 &amp; attended apps. exceed 0</t>
  </si>
  <si>
    <t>Total attended appointments for flagged in F9</t>
  </si>
  <si>
    <t>Attendance among known statuses across all three rows combined</t>
  </si>
  <si>
    <t>Clinic</t>
  </si>
  <si>
    <t>Did not attend</t>
  </si>
  <si>
    <t>A</t>
  </si>
  <si>
    <t>B</t>
  </si>
  <si>
    <t>C</t>
  </si>
  <si>
    <t>Overall attendance among known statuses</t>
  </si>
  <si>
    <t>AVG attendance overall rate</t>
  </si>
  <si>
    <t>*Wrong because diffrenet denominators*</t>
  </si>
  <si>
    <t>*Different denominators prevent a simple average of the percentages; they don’t prevent combining the counts*</t>
  </si>
  <si>
    <t>DNA</t>
  </si>
  <si>
    <t>Appointment ID</t>
  </si>
  <si>
    <t>Patient ID</t>
  </si>
  <si>
    <t>Status</t>
  </si>
  <si>
    <t>A101</t>
  </si>
  <si>
    <t>P01</t>
  </si>
  <si>
    <t>A102</t>
  </si>
  <si>
    <t>P02</t>
  </si>
  <si>
    <t>A103</t>
  </si>
  <si>
    <t>Did Not Attend</t>
  </si>
  <si>
    <t>A104</t>
  </si>
  <si>
    <t>P03</t>
  </si>
  <si>
    <t>A105</t>
  </si>
  <si>
    <t>P04</t>
  </si>
  <si>
    <t>Row Labels</t>
  </si>
  <si>
    <t>Grand Total</t>
  </si>
  <si>
    <t>Count of Appointment ID</t>
  </si>
  <si>
    <t>A106</t>
  </si>
  <si>
    <t>P05</t>
  </si>
  <si>
    <t>Column Labels</t>
  </si>
  <si>
    <t>Age Group</t>
  </si>
  <si>
    <t>65+</t>
  </si>
  <si>
    <t>35-49</t>
  </si>
  <si>
    <t>P06</t>
  </si>
  <si>
    <t>50-64</t>
  </si>
  <si>
    <t>A107</t>
  </si>
  <si>
    <t>Distinct Count of Patient ID</t>
  </si>
  <si>
    <t>A108</t>
  </si>
  <si>
    <t>Count of Status</t>
  </si>
  <si>
    <t>Appointment Date</t>
  </si>
  <si>
    <t>Oct</t>
  </si>
  <si>
    <t>2026</t>
  </si>
  <si>
    <t>A109</t>
  </si>
  <si>
    <t>StatusReview</t>
  </si>
  <si>
    <t>Valid</t>
  </si>
  <si>
    <t>RowCount</t>
  </si>
  <si>
    <t>A110</t>
  </si>
  <si>
    <t>P99</t>
  </si>
  <si>
    <t>A111</t>
  </si>
  <si>
    <t>A112</t>
  </si>
  <si>
    <t>A113</t>
  </si>
  <si>
    <t>Appointment Attendance Report</t>
  </si>
  <si>
    <t>Synthetic training data | 1 September–21 October 2026</t>
  </si>
  <si>
    <t>Total appointments</t>
  </si>
  <si>
    <t>Attendance rate among known statuses</t>
  </si>
  <si>
    <t>Unknown status percentage</t>
  </si>
  <si>
    <t>A114</t>
  </si>
  <si>
    <r>
      <t xml:space="preserve">Attendance among known statuses was </t>
    </r>
    <r>
      <rPr>
        <b/>
        <i/>
        <sz val="14"/>
        <color theme="1"/>
        <rFont val="Aptos Narrow"/>
        <family val="2"/>
        <scheme val="minor"/>
      </rPr>
      <t>85.7%</t>
    </r>
    <r>
      <rPr>
        <sz val="14"/>
        <color theme="1"/>
        <rFont val="Aptos Narrow"/>
        <family val="2"/>
        <scheme val="minor"/>
      </rPr>
      <t xml:space="preserve"> in Clinic A (5/6) and </t>
    </r>
    <r>
      <rPr>
        <b/>
        <i/>
        <sz val="14"/>
        <color theme="1"/>
        <rFont val="Aptos Narrow"/>
        <family val="2"/>
        <scheme val="minor"/>
      </rPr>
      <t>60%</t>
    </r>
    <r>
      <rPr>
        <sz val="14"/>
        <color theme="1"/>
        <rFont val="Aptos Narrow"/>
        <family val="2"/>
        <scheme val="minor"/>
      </rPr>
      <t xml:space="preserve"> in Clinic B (3/5). Small samples and one unknown status per clinic </t>
    </r>
    <r>
      <rPr>
        <b/>
        <i/>
        <sz val="14"/>
        <color theme="1"/>
        <rFont val="Aptos Narrow"/>
        <family val="2"/>
        <scheme val="minor"/>
      </rPr>
      <t>limit</t>
    </r>
    <r>
      <rPr>
        <sz val="14"/>
        <color theme="1"/>
        <rFont val="Aptos Narrow"/>
        <family val="2"/>
        <scheme val="minor"/>
      </rPr>
      <t xml:space="preserve"> this comparison. </t>
    </r>
    <r>
      <rPr>
        <b/>
        <i/>
        <sz val="14"/>
        <color theme="1"/>
        <rFont val="Aptos Narrow"/>
        <family val="2"/>
        <scheme val="minor"/>
      </rPr>
      <t>Verify</t>
    </r>
    <r>
      <rPr>
        <sz val="14"/>
        <color theme="1"/>
        <rFont val="Aptos Narrow"/>
        <family val="2"/>
        <scheme val="minor"/>
      </rPr>
      <t xml:space="preserve"> the unknown records before drawing conclusions.</t>
    </r>
  </si>
  <si>
    <t>18-34</t>
  </si>
  <si>
    <t>A115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</si>
</sst>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Arial Unicode MS"/>
    </font>
    <font>
      <sz val="14"/>
      <color theme="1"/>
      <name val="Aptos Narrow"/>
      <family val="2"/>
      <scheme val="minor"/>
    </font>
    <font>
      <b/>
      <sz val="22"/>
      <color theme="0"/>
      <name val="Aptos Narrow"/>
      <family val="2"/>
      <scheme val="minor"/>
    </font>
    <font>
      <b/>
      <sz val="14"/>
      <color theme="1"/>
      <name val="Aptos Narrow"/>
      <family val="2"/>
      <scheme val="minor"/>
    </font>
    <font>
      <b/>
      <sz val="11"/>
      <color rgb="FFFFFF00"/>
      <name val="Aptos Narrow"/>
      <family val="2"/>
      <scheme val="minor"/>
    </font>
    <font>
      <b/>
      <i/>
      <sz val="14"/>
      <color theme="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1" tint="0.34998626667073579"/>
        <bgColor indexed="64"/>
      </patternFill>
    </fill>
    <fill>
      <patternFill patternType="solid">
        <fgColor theme="7" tint="-0.249977111117893"/>
        <bgColor indexed="64"/>
      </patternFill>
    </fill>
    <fill>
      <patternFill patternType="solid">
        <fgColor theme="9" tint="0.59999389629810485"/>
        <bgColor indexed="64"/>
      </patternFill>
    </fill>
    <fill>
      <patternFill patternType="solid">
        <fgColor theme="0"/>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3">
    <xf numFmtId="0" fontId="0" fillId="0" borderId="0" xfId="0"/>
    <xf numFmtId="0" fontId="2" fillId="0" borderId="0" xfId="0" applyFont="1"/>
    <xf numFmtId="0" fontId="0" fillId="0" borderId="0" xfId="0" applyAlignment="1">
      <alignment horizontal="center" vertical="center"/>
    </xf>
    <xf numFmtId="9" fontId="0" fillId="0" borderId="0" xfId="1" applyFont="1"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xf>
    <xf numFmtId="10" fontId="0" fillId="0" borderId="0" xfId="1" applyNumberFormat="1" applyFont="1" applyAlignment="1">
      <alignment horizontal="center" vertical="center"/>
    </xf>
    <xf numFmtId="0" fontId="2" fillId="0" borderId="0" xfId="0" applyFont="1" applyAlignment="1">
      <alignment horizontal="center" vertical="center" wrapText="1"/>
    </xf>
    <xf numFmtId="10" fontId="2" fillId="0" borderId="0" xfId="1" applyNumberFormat="1" applyFont="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14" fontId="0" fillId="0" borderId="0" xfId="0" applyNumberFormat="1"/>
    <xf numFmtId="14" fontId="0" fillId="0" borderId="0" xfId="0" applyNumberFormat="1" applyAlignment="1">
      <alignment horizontal="center" vertical="center"/>
    </xf>
    <xf numFmtId="14" fontId="3" fillId="0" borderId="0" xfId="0" applyNumberFormat="1" applyFont="1" applyAlignment="1">
      <alignment horizontal="center" vertical="center"/>
    </xf>
    <xf numFmtId="0" fontId="4" fillId="0" borderId="0" xfId="0" applyFont="1"/>
    <xf numFmtId="0" fontId="7" fillId="4" borderId="0" xfId="0" applyFont="1" applyFill="1" applyAlignment="1">
      <alignment horizontal="center" vertical="center" wrapText="1"/>
    </xf>
    <xf numFmtId="0" fontId="6" fillId="5" borderId="0" xfId="0" applyFont="1" applyFill="1" applyAlignment="1">
      <alignment horizontal="center" vertical="center" wrapText="1"/>
    </xf>
    <xf numFmtId="164" fontId="7" fillId="4" borderId="0" xfId="1" applyNumberFormat="1" applyFont="1" applyFill="1" applyAlignment="1">
      <alignment horizontal="center" vertical="center" wrapText="1"/>
    </xf>
    <xf numFmtId="0" fontId="4" fillId="5" borderId="0" xfId="0" applyFont="1" applyFill="1" applyAlignment="1">
      <alignment horizontal="center" vertical="center" wrapText="1"/>
    </xf>
    <xf numFmtId="0" fontId="7" fillId="4" borderId="0" xfId="1" applyNumberFormat="1" applyFont="1" applyFill="1" applyAlignment="1">
      <alignment horizontal="center" vertical="center" wrapText="1"/>
    </xf>
    <xf numFmtId="0" fontId="0" fillId="6" borderId="0" xfId="0" applyFill="1" applyAlignment="1">
      <alignment horizontal="center"/>
    </xf>
    <xf numFmtId="0" fontId="0" fillId="7" borderId="0" xfId="0" applyFill="1"/>
    <xf numFmtId="0" fontId="4" fillId="5" borderId="0" xfId="0" applyFont="1" applyFill="1" applyAlignment="1">
      <alignment horizontal="center" vertical="center" wrapText="1"/>
    </xf>
    <xf numFmtId="0" fontId="0" fillId="7" borderId="0" xfId="0" applyFill="1" applyAlignment="1">
      <alignment horizontal="center"/>
    </xf>
    <xf numFmtId="0" fontId="6" fillId="5" borderId="0" xfId="0" applyFont="1" applyFill="1" applyAlignment="1">
      <alignment horizontal="center"/>
    </xf>
    <xf numFmtId="0" fontId="5" fillId="3" borderId="0" xfId="0" applyFont="1" applyFill="1" applyAlignment="1">
      <alignment horizontal="center"/>
    </xf>
    <xf numFmtId="0" fontId="4" fillId="7" borderId="0" xfId="0" applyFont="1" applyFill="1"/>
    <xf numFmtId="0" fontId="0" fillId="0" borderId="0" xfId="0" applyNumberFormat="1"/>
    <xf numFmtId="0" fontId="0" fillId="0" borderId="0" xfId="0" applyNumberFormat="1" applyAlignment="1">
      <alignment horizontal="center" vertical="center"/>
    </xf>
  </cellXfs>
  <cellStyles count="2">
    <cellStyle name="Normal" xfId="0" builtinId="0"/>
    <cellStyle name="Percent" xfId="1" builtinId="5"/>
  </cellStyles>
  <dxfs count="30">
    <dxf>
      <numFmt numFmtId="19" formatCode="m/d/yyyy"/>
    </dxf>
    <dxf>
      <numFmt numFmtId="19" formatCode="m/d/yyyy"/>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sz="1800" b="1" i="0" u="none" strike="noStrike" baseline="0"/>
              <a:t>Appointment Status by Clinic</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Report!$A$12</c:f>
              <c:strCache>
                <c:ptCount val="1"/>
                <c:pt idx="0">
                  <c:v>A</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Report!$B$11:$D$11</c:f>
              <c:strCache>
                <c:ptCount val="3"/>
                <c:pt idx="0">
                  <c:v>Attended</c:v>
                </c:pt>
                <c:pt idx="1">
                  <c:v>Did Not Attend</c:v>
                </c:pt>
                <c:pt idx="2">
                  <c:v>Unknown</c:v>
                </c:pt>
              </c:strCache>
            </c:strRef>
          </c:cat>
          <c:val>
            <c:numRef>
              <c:f>Report!$B$12:$D$12</c:f>
              <c:numCache>
                <c:formatCode>General</c:formatCode>
                <c:ptCount val="3"/>
                <c:pt idx="0">
                  <c:v>6</c:v>
                </c:pt>
                <c:pt idx="1">
                  <c:v>1</c:v>
                </c:pt>
                <c:pt idx="2">
                  <c:v>1</c:v>
                </c:pt>
              </c:numCache>
            </c:numRef>
          </c:val>
          <c:extLst>
            <c:ext xmlns:c16="http://schemas.microsoft.com/office/drawing/2014/chart" uri="{C3380CC4-5D6E-409C-BE32-E72D297353CC}">
              <c16:uniqueId val="{00000000-02AC-4794-A73C-06B7ACE118DE}"/>
            </c:ext>
          </c:extLst>
        </c:ser>
        <c:ser>
          <c:idx val="1"/>
          <c:order val="1"/>
          <c:tx>
            <c:strRef>
              <c:f>Report!$A$13</c:f>
              <c:strCache>
                <c:ptCount val="1"/>
                <c:pt idx="0">
                  <c:v>B</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Report!$B$11:$D$11</c:f>
              <c:strCache>
                <c:ptCount val="3"/>
                <c:pt idx="0">
                  <c:v>Attended</c:v>
                </c:pt>
                <c:pt idx="1">
                  <c:v>Did Not Attend</c:v>
                </c:pt>
                <c:pt idx="2">
                  <c:v>Unknown</c:v>
                </c:pt>
              </c:strCache>
            </c:strRef>
          </c:cat>
          <c:val>
            <c:numRef>
              <c:f>Report!$B$13:$D$13</c:f>
              <c:numCache>
                <c:formatCode>General</c:formatCode>
                <c:ptCount val="3"/>
                <c:pt idx="0">
                  <c:v>4</c:v>
                </c:pt>
                <c:pt idx="1">
                  <c:v>2</c:v>
                </c:pt>
                <c:pt idx="2">
                  <c:v>1</c:v>
                </c:pt>
              </c:numCache>
            </c:numRef>
          </c:val>
          <c:extLst>
            <c:ext xmlns:c16="http://schemas.microsoft.com/office/drawing/2014/chart" uri="{C3380CC4-5D6E-409C-BE32-E72D297353CC}">
              <c16:uniqueId val="{00000001-02AC-4794-A73C-06B7ACE118DE}"/>
            </c:ext>
          </c:extLst>
        </c:ser>
        <c:dLbls>
          <c:dLblPos val="ctr"/>
          <c:showLegendKey val="0"/>
          <c:showVal val="1"/>
          <c:showCatName val="0"/>
          <c:showSerName val="0"/>
          <c:showPercent val="0"/>
          <c:showBubbleSize val="0"/>
        </c:dLbls>
        <c:gapWidth val="150"/>
        <c:overlap val="100"/>
        <c:axId val="988999471"/>
        <c:axId val="988999951"/>
      </c:barChart>
      <c:catAx>
        <c:axId val="9889994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988999951"/>
        <c:crosses val="autoZero"/>
        <c:auto val="1"/>
        <c:lblAlgn val="ctr"/>
        <c:lblOffset val="100"/>
        <c:noMultiLvlLbl val="0"/>
      </c:catAx>
      <c:valAx>
        <c:axId val="98899995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88999471"/>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2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[Book1.xlsx]Sheet5!PivotTable1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Appointment Status by Age Group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Sheet5!$B$3:$B$4</c:f>
              <c:strCache>
                <c:ptCount val="1"/>
                <c:pt idx="0">
                  <c:v>Attended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Sheet5!$A$5:$A$9</c:f>
              <c:strCache>
                <c:ptCount val="4"/>
                <c:pt idx="0">
                  <c:v>35-49</c:v>
                </c:pt>
                <c:pt idx="1">
                  <c:v>50-64</c:v>
                </c:pt>
                <c:pt idx="2">
                  <c:v>65+</c:v>
                </c:pt>
                <c:pt idx="3">
                  <c:v>18-34</c:v>
                </c:pt>
              </c:strCache>
            </c:strRef>
          </c:cat>
          <c:val>
            <c:numRef>
              <c:f>Sheet5!$B$5:$B$9</c:f>
              <c:numCache>
                <c:formatCode>General</c:formatCode>
                <c:ptCount val="4"/>
                <c:pt idx="0">
                  <c:v>3</c:v>
                </c:pt>
                <c:pt idx="1">
                  <c:v>1</c:v>
                </c:pt>
                <c:pt idx="2">
                  <c:v>1</c:v>
                </c:pt>
                <c:pt idx="3">
                  <c:v>2</c:v>
                </c:pt>
              </c:numCache>
            </c:numRef>
          </c:val>
          <c:extLst>
            <c:ext xmlns:c16="http://schemas.microsoft.com/office/drawing/2014/chart" uri="{C3380CC4-5D6E-409C-BE32-E72D297353CC}">
              <c16:uniqueId val="{00000000-AC26-4C9A-BE61-F41B2C0B3992}"/>
            </c:ext>
          </c:extLst>
        </c:ser>
        <c:ser>
          <c:idx val="1"/>
          <c:order val="1"/>
          <c:tx>
            <c:strRef>
              <c:f>Sheet5!$C$3:$C$4</c:f>
              <c:strCache>
                <c:ptCount val="1"/>
                <c:pt idx="0">
                  <c:v>Did Not Attend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Sheet5!$A$5:$A$9</c:f>
              <c:strCache>
                <c:ptCount val="4"/>
                <c:pt idx="0">
                  <c:v>35-49</c:v>
                </c:pt>
                <c:pt idx="1">
                  <c:v>50-64</c:v>
                </c:pt>
                <c:pt idx="2">
                  <c:v>65+</c:v>
                </c:pt>
                <c:pt idx="3">
                  <c:v>18-34</c:v>
                </c:pt>
              </c:strCache>
            </c:strRef>
          </c:cat>
          <c:val>
            <c:numRef>
              <c:f>Sheet5!$C$5:$C$9</c:f>
              <c:numCache>
                <c:formatCode>General</c:formatCode>
                <c:ptCount val="4"/>
                <c:pt idx="3">
                  <c:v>1</c:v>
                </c:pt>
              </c:numCache>
            </c:numRef>
          </c:val>
          <c:extLst>
            <c:ext xmlns:c16="http://schemas.microsoft.com/office/drawing/2014/chart" uri="{C3380CC4-5D6E-409C-BE32-E72D297353CC}">
              <c16:uniqueId val="{00000004-AC26-4C9A-BE61-F41B2C0B3992}"/>
            </c:ext>
          </c:extLst>
        </c:ser>
        <c:ser>
          <c:idx val="2"/>
          <c:order val="2"/>
          <c:tx>
            <c:strRef>
              <c:f>Sheet5!$D$3:$D$4</c:f>
              <c:strCache>
                <c:ptCount val="1"/>
                <c:pt idx="0">
                  <c:v>Unknown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Sheet5!$A$5:$A$9</c:f>
              <c:strCache>
                <c:ptCount val="4"/>
                <c:pt idx="0">
                  <c:v>35-49</c:v>
                </c:pt>
                <c:pt idx="1">
                  <c:v>50-64</c:v>
                </c:pt>
                <c:pt idx="2">
                  <c:v>65+</c:v>
                </c:pt>
                <c:pt idx="3">
                  <c:v>18-34</c:v>
                </c:pt>
              </c:strCache>
            </c:strRef>
          </c:cat>
          <c:val>
            <c:numRef>
              <c:f>Sheet5!$D$5:$D$9</c:f>
              <c:numCache>
                <c:formatCode>General</c:formatCode>
                <c:ptCount val="4"/>
                <c:pt idx="0">
                  <c:v>1</c:v>
                </c:pt>
                <c:pt idx="1">
                  <c:v>1</c:v>
                </c:pt>
              </c:numCache>
            </c:numRef>
          </c:val>
          <c:extLst>
            <c:ext xmlns:c16="http://schemas.microsoft.com/office/drawing/2014/chart" uri="{C3380CC4-5D6E-409C-BE32-E72D297353CC}">
              <c16:uniqueId val="{00000005-AC26-4C9A-BE61-F41B2C0B3992}"/>
            </c:ext>
          </c:extLst>
        </c:ser>
        <c:dLbls>
          <c:dLblPos val="ctr"/>
          <c:showLegendKey val="0"/>
          <c:showVal val="1"/>
          <c:showCatName val="0"/>
          <c:showSerName val="0"/>
          <c:showPercent val="0"/>
          <c:showBubbleSize val="0"/>
        </c:dLbls>
        <c:gapWidth val="150"/>
        <c:overlap val="100"/>
        <c:axId val="171658671"/>
        <c:axId val="171659631"/>
      </c:barChart>
      <c:catAx>
        <c:axId val="1716586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1659631"/>
        <c:crosses val="autoZero"/>
        <c:auto val="1"/>
        <c:lblAlgn val="ctr"/>
        <c:lblOffset val="100"/>
        <c:noMultiLvlLbl val="0"/>
      </c:catAx>
      <c:valAx>
        <c:axId val="1716596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716586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7620</xdr:colOff>
      <xdr:row>2</xdr:row>
      <xdr:rowOff>179070</xdr:rowOff>
    </xdr:from>
    <xdr:to>
      <xdr:col>17</xdr:col>
      <xdr:colOff>518160</xdr:colOff>
      <xdr:row>23</xdr:row>
      <xdr:rowOff>83820</xdr:rowOff>
    </xdr:to>
    <xdr:graphicFrame macro="">
      <xdr:nvGraphicFramePr>
        <xdr:cNvPr id="2" name="Chart 1">
          <a:extLst>
            <a:ext uri="{FF2B5EF4-FFF2-40B4-BE49-F238E27FC236}">
              <a16:creationId xmlns:a16="http://schemas.microsoft.com/office/drawing/2014/main" id="{483304F5-F8E1-4C6C-1FAC-B457F15DB8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579120</xdr:colOff>
      <xdr:row>1</xdr:row>
      <xdr:rowOff>171450</xdr:rowOff>
    </xdr:from>
    <xdr:to>
      <xdr:col>9</xdr:col>
      <xdr:colOff>22860</xdr:colOff>
      <xdr:row>16</xdr:row>
      <xdr:rowOff>171450</xdr:rowOff>
    </xdr:to>
    <xdr:graphicFrame macro="">
      <xdr:nvGraphicFramePr>
        <xdr:cNvPr id="2" name="Chart 1">
          <a:extLst>
            <a:ext uri="{FF2B5EF4-FFF2-40B4-BE49-F238E27FC236}">
              <a16:creationId xmlns:a16="http://schemas.microsoft.com/office/drawing/2014/main" id="{C8A6BD33-40BD-1390-3158-8432F00C3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335280</xdr:colOff>
      <xdr:row>10</xdr:row>
      <xdr:rowOff>15241</xdr:rowOff>
    </xdr:from>
    <xdr:to>
      <xdr:col>4</xdr:col>
      <xdr:colOff>304800</xdr:colOff>
      <xdr:row>15</xdr:row>
      <xdr:rowOff>121921</xdr:rowOff>
    </xdr:to>
    <mc:AlternateContent xmlns:mc="http://schemas.openxmlformats.org/markup-compatibility/2006" xmlns:a14="http://schemas.microsoft.com/office/drawing/2010/main">
      <mc:Choice Requires="a14">
        <xdr:graphicFrame macro="">
          <xdr:nvGraphicFramePr>
            <xdr:cNvPr id="2" name="Clinic">
              <a:extLst>
                <a:ext uri="{FF2B5EF4-FFF2-40B4-BE49-F238E27FC236}">
                  <a16:creationId xmlns:a16="http://schemas.microsoft.com/office/drawing/2014/main" id="{371B65A8-275F-E7A8-0BCF-BC11A2BBBEB9}"/>
                </a:ext>
              </a:extLst>
            </xdr:cNvPr>
            <xdr:cNvGraphicFramePr/>
          </xdr:nvGraphicFramePr>
          <xdr:xfrm>
            <a:off x="0" y="0"/>
            <a:ext cx="0" cy="0"/>
          </xdr:xfrm>
          <a:graphic>
            <a:graphicData uri="http://schemas.microsoft.com/office/drawing/2010/slicer">
              <sle:slicer xmlns:sle="http://schemas.microsoft.com/office/drawing/2010/slicer" name="Clinic"/>
            </a:graphicData>
          </a:graphic>
        </xdr:graphicFrame>
      </mc:Choice>
      <mc:Fallback xmlns="">
        <xdr:sp macro="" textlink="">
          <xdr:nvSpPr>
            <xdr:cNvPr id="0" name=""/>
            <xdr:cNvSpPr>
              <a:spLocks noTextEdit="1"/>
            </xdr:cNvSpPr>
          </xdr:nvSpPr>
          <xdr:spPr>
            <a:xfrm>
              <a:off x="2872740" y="1844041"/>
              <a:ext cx="1280160" cy="10210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16.727178125002" backgroundQuery="1" createdVersion="8" refreshedVersion="8" minRefreshableVersion="3" recordCount="0" supportSubquery="1" supportAdvancedDrill="1" xr:uid="{BCDBF011-F3A2-4441-8498-CA5E2142FA0B}">
  <cacheSource type="external" connectionId="9"/>
  <cacheFields count="3">
    <cacheField name="[Table1].[Status].[Status]" caption="Status" numFmtId="0" hierarchy="2" level="1">
      <sharedItems containsSemiMixedTypes="0" containsNonDate="0" containsString="0"/>
    </cacheField>
    <cacheField name="[Measures].[Distinct Count of Patient ID]" caption="Distinct Count of Patient ID" numFmtId="0" hierarchy="9" level="32767"/>
    <cacheField name="[Measures].[Count of Status]" caption="Count of Status" numFmtId="0" hierarchy="10" level="32767"/>
  </cacheFields>
  <cacheHierarchies count="11">
    <cacheHierarchy uniqueName="[Table1].[Appointment ID]" caption="Appointment ID" attribute="1" defaultMemberUniqueName="[Table1].[Appointment ID].[All]" allUniqueName="[Table1].[Appointment ID].[All]" dimensionUniqueName="[Table1]"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Clinic]" caption="Clinic" attribute="1" defaultMemberUniqueName="[Table1].[Clinic].[All]" allUniqueName="[Table1].[Clinic].[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ppointment Date]" caption="Appointment Date" attribute="1" time="1" defaultMemberUniqueName="[Table1].[Appointment Date].[All]" allUniqueName="[Table1].[Appointment Date].[All]" dimensionUniqueName="[Table1]" displayFolder="" count="0" memberValueDatatype="7"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Status]" caption="Count of Status" measure="1" displayFolder="" measureGroup="Table1" count="0" oneField="1" hidden="1">
      <fieldsUsage count="1">
        <fieldUsage x="2"/>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316.727178125002" createdVersion="8" refreshedVersion="8" minRefreshableVersion="3" recordCount="14" xr:uid="{D2B3D10B-7639-4E7F-A94E-5C78B95BDCBB}">
  <cacheSource type="worksheet">
    <worksheetSource name="CleanAppointments"/>
  </cacheSource>
  <cacheFields count="7">
    <cacheField name="Appointment ID" numFmtId="0">
      <sharedItems/>
    </cacheField>
    <cacheField name="Patient ID" numFmtId="0">
      <sharedItems/>
    </cacheField>
    <cacheField name="Clinic" numFmtId="0">
      <sharedItems count="2">
        <s v="A"/>
        <s v="B"/>
      </sharedItems>
    </cacheField>
    <cacheField name="Appointment Date" numFmtId="14">
      <sharedItems containsSemiMixedTypes="0" containsNonDate="0" containsDate="1" containsString="0" minDate="2026-09-01T00:00:00" maxDate="2026-10-22T00:00:00"/>
    </cacheField>
    <cacheField name="Status" numFmtId="0">
      <sharedItems count="3">
        <s v="Attended"/>
        <s v="Did Not Attend"/>
        <s v="Unknown"/>
      </sharedItems>
    </cacheField>
    <cacheField name="StatusReview" numFmtId="0">
      <sharedItems/>
    </cacheField>
    <cacheField name="Age Group"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316.727178356479" createdVersion="8" refreshedVersion="8" minRefreshableVersion="3" recordCount="10" xr:uid="{1C414C5E-272E-4C98-AFF2-780BF18E9434}">
  <cacheSource type="worksheet">
    <worksheetSource name="Table1"/>
  </cacheSource>
  <cacheFields count="8">
    <cacheField name="Appointment ID" numFmtId="0">
      <sharedItems/>
    </cacheField>
    <cacheField name="Patient ID" numFmtId="0">
      <sharedItems/>
    </cacheField>
    <cacheField name="Status" numFmtId="0">
      <sharedItems containsBlank="1" count="7">
        <s v="Attended"/>
        <s v="Unknown"/>
        <s v="Did Not Attend"/>
        <s v="Pending" u="1"/>
        <s v="   " u="1"/>
        <m u="1"/>
        <s v="Dna" u="1"/>
      </sharedItems>
    </cacheField>
    <cacheField name="Clinic" numFmtId="0">
      <sharedItems count="2">
        <s v="A"/>
        <s v="B"/>
      </sharedItems>
    </cacheField>
    <cacheField name="Age Group" numFmtId="0">
      <sharedItems count="8">
        <s v="18-34"/>
        <s v="35-49"/>
        <s v="50-64"/>
        <s v="65+"/>
        <s v="18–34" u="1"/>
        <s v="35–49" u="1"/>
        <s v="50–64" u="1"/>
        <s v="Not found" u="1"/>
      </sharedItems>
    </cacheField>
    <cacheField name="Appointment Date" numFmtId="14">
      <sharedItems containsSemiMixedTypes="0" containsNonDate="0" containsDate="1" containsString="0" minDate="2026-09-01T00:00:00" maxDate="2026-10-20T00:00:00" count="9">
        <d v="2026-09-01T00:00:00"/>
        <d v="2026-09-05T00:00:00"/>
        <d v="2026-09-10T00:00:00"/>
        <d v="2026-10-01T00:00:00"/>
        <d v="2026-10-05T00:00:00"/>
        <d v="2026-10-10T00:00:00"/>
        <d v="2026-10-15T00:00:00"/>
        <d v="2026-10-18T00:00:00"/>
        <d v="2026-10-19T00:00:00"/>
      </sharedItems>
      <fieldGroup par="7"/>
    </cacheField>
    <cacheField name="Months (Appointment Date)" numFmtId="0" databaseField="0">
      <fieldGroup base="5">
        <rangePr groupBy="months" startDate="2026-09-01T00:00:00" endDate="2026-10-20T00:00:00"/>
        <groupItems count="14">
          <s v="&lt;9/1/2026"/>
          <s v="Jan"/>
          <s v="Feb"/>
          <s v="Mar"/>
          <s v="Apr"/>
          <s v="May"/>
          <s v="Jun"/>
          <s v="Jul"/>
          <s v="Aug"/>
          <s v="Sep"/>
          <s v="Oct"/>
          <s v="Nov"/>
          <s v="Dec"/>
          <s v="&gt;10/20/2026"/>
        </groupItems>
      </fieldGroup>
    </cacheField>
    <cacheField name="Years (Appointment Date)" numFmtId="0" databaseField="0">
      <fieldGroup base="5">
        <rangePr groupBy="years" startDate="2026-09-01T00:00:00" endDate="2026-10-20T00:00:00"/>
        <groupItems count="3">
          <s v="&lt;9/1/2026"/>
          <s v="2026"/>
          <s v="&gt;10/20/2026"/>
        </groupItems>
      </fieldGroup>
    </cacheField>
  </cacheFields>
  <extLst>
    <ext xmlns:x14="http://schemas.microsoft.com/office/spreadsheetml/2009/9/main" uri="{725AE2AE-9491-48be-B2B4-4EB974FC3084}">
      <x14:pivotCacheDefinition pivotCacheId="2045543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A101"/>
    <s v="P01"/>
    <x v="0"/>
    <d v="2026-09-01T00:00:00"/>
    <x v="0"/>
    <s v="Valid"/>
    <s v="18-34"/>
  </r>
  <r>
    <s v="A103"/>
    <s v="P01"/>
    <x v="0"/>
    <d v="2026-09-10T00:00:00"/>
    <x v="1"/>
    <s v="Valid"/>
    <s v="18-34"/>
  </r>
  <r>
    <s v="A108"/>
    <s v="P01"/>
    <x v="0"/>
    <d v="2026-10-18T00:00:00"/>
    <x v="0"/>
    <s v="Valid"/>
    <s v="18-34"/>
  </r>
  <r>
    <s v="A102"/>
    <s v="P02"/>
    <x v="0"/>
    <d v="2026-09-05T00:00:00"/>
    <x v="2"/>
    <s v="Valid"/>
    <s v="35-49"/>
  </r>
  <r>
    <s v="A104"/>
    <s v="P03"/>
    <x v="1"/>
    <d v="2026-10-01T00:00:00"/>
    <x v="2"/>
    <s v="Valid"/>
    <s v="50-64"/>
  </r>
  <r>
    <s v="A105"/>
    <s v="P04"/>
    <x v="1"/>
    <d v="2026-10-05T00:00:00"/>
    <x v="0"/>
    <s v="Valid"/>
    <s v="65+"/>
  </r>
  <r>
    <s v="A106"/>
    <s v="P05"/>
    <x v="1"/>
    <d v="2026-10-10T00:00:00"/>
    <x v="0"/>
    <s v="Valid"/>
    <s v="35-49"/>
  </r>
  <r>
    <s v="A107"/>
    <s v="P06"/>
    <x v="1"/>
    <d v="2026-10-15T00:00:00"/>
    <x v="0"/>
    <s v="Valid"/>
    <s v="50-64"/>
  </r>
  <r>
    <s v="A109"/>
    <s v="P02"/>
    <x v="0"/>
    <d v="2026-10-19T00:00:00"/>
    <x v="0"/>
    <s v="Valid"/>
    <s v="35-49"/>
  </r>
  <r>
    <s v="A110"/>
    <s v="P99"/>
    <x v="0"/>
    <d v="2026-10-19T00:00:00"/>
    <x v="0"/>
    <s v="Valid"/>
    <s v="35-49"/>
  </r>
  <r>
    <s v="A111"/>
    <s v="P02"/>
    <x v="0"/>
    <d v="2026-10-20T00:00:00"/>
    <x v="0"/>
    <s v="Valid"/>
    <s v="35-49"/>
  </r>
  <r>
    <s v="A114"/>
    <s v="P02"/>
    <x v="0"/>
    <d v="2026-10-21T00:00:00"/>
    <x v="0"/>
    <s v="Valid"/>
    <s v="35-49"/>
  </r>
  <r>
    <s v="A112"/>
    <s v="P03"/>
    <x v="1"/>
    <d v="2026-10-20T00:00:00"/>
    <x v="1"/>
    <s v="Valid"/>
    <s v="50-64"/>
  </r>
  <r>
    <s v="A113"/>
    <s v="P04"/>
    <x v="1"/>
    <d v="2026-10-21T00:00:00"/>
    <x v="1"/>
    <s v="Valid"/>
    <s v="6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A101"/>
    <s v="P01"/>
    <x v="0"/>
    <x v="0"/>
    <x v="0"/>
    <x v="0"/>
  </r>
  <r>
    <s v="A102"/>
    <s v="P02"/>
    <x v="1"/>
    <x v="0"/>
    <x v="1"/>
    <x v="1"/>
  </r>
  <r>
    <s v="A103"/>
    <s v="P01"/>
    <x v="2"/>
    <x v="0"/>
    <x v="0"/>
    <x v="2"/>
  </r>
  <r>
    <s v="A104"/>
    <s v="P03"/>
    <x v="1"/>
    <x v="1"/>
    <x v="2"/>
    <x v="3"/>
  </r>
  <r>
    <s v="A105"/>
    <s v="P04"/>
    <x v="0"/>
    <x v="1"/>
    <x v="3"/>
    <x v="4"/>
  </r>
  <r>
    <s v="A106"/>
    <s v="P05"/>
    <x v="0"/>
    <x v="1"/>
    <x v="1"/>
    <x v="5"/>
  </r>
  <r>
    <s v="A107"/>
    <s v="P06"/>
    <x v="0"/>
    <x v="1"/>
    <x v="2"/>
    <x v="6"/>
  </r>
  <r>
    <s v="A108"/>
    <s v="P01"/>
    <x v="0"/>
    <x v="0"/>
    <x v="0"/>
    <x v="7"/>
  </r>
  <r>
    <s v="A109"/>
    <s v="P02"/>
    <x v="0"/>
    <x v="0"/>
    <x v="1"/>
    <x v="8"/>
  </r>
  <r>
    <s v="A110"/>
    <s v="P99"/>
    <x v="0"/>
    <x v="0"/>
    <x v="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DEC5F5-6606-40B1-99F6-A248AB1BE7D0}"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9" firstHeaderRow="1" firstDataRow="2" firstDataCol="1"/>
  <pivotFields count="8">
    <pivotField dataField="1" showAll="0"/>
    <pivotField showAll="0"/>
    <pivotField axis="axisCol" showAll="0">
      <items count="8">
        <item x="0"/>
        <item x="2"/>
        <item x="1"/>
        <item m="1" x="6"/>
        <item m="1" x="5"/>
        <item m="1" x="4"/>
        <item m="1" x="3"/>
        <item t="default"/>
      </items>
    </pivotField>
    <pivotField showAll="0"/>
    <pivotField axis="axisRow" showAll="0">
      <items count="9">
        <item m="1" x="4"/>
        <item x="1"/>
        <item m="1" x="5"/>
        <item x="2"/>
        <item m="1" x="6"/>
        <item x="3"/>
        <item m="1" x="7"/>
        <item x="0"/>
        <item t="default"/>
      </items>
    </pivotField>
    <pivotField numFmtId="14" showAll="0">
      <items count="10">
        <item x="0"/>
        <item x="1"/>
        <item x="2"/>
        <item x="3"/>
        <item x="4"/>
        <item x="5"/>
        <item x="6"/>
        <item x="7"/>
        <item x="8"/>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4"/>
  </rowFields>
  <rowItems count="5">
    <i>
      <x v="1"/>
    </i>
    <i>
      <x v="3"/>
    </i>
    <i>
      <x v="5"/>
    </i>
    <i>
      <x v="7"/>
    </i>
    <i t="grand">
      <x/>
    </i>
  </rowItems>
  <colFields count="1">
    <field x="2"/>
  </colFields>
  <colItems count="4">
    <i>
      <x/>
    </i>
    <i>
      <x v="1"/>
    </i>
    <i>
      <x v="2"/>
    </i>
    <i t="grand">
      <x/>
    </i>
  </colItems>
  <dataFields count="1">
    <dataField name="Count of Appointment ID"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6EC4C9-9E9D-4151-9CAB-3D8EFB26EE77}"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rowPageCount="1" colPageCount="1"/>
  <pivotFields count="3">
    <pivotField axis="axisPage" allDrilled="1" subtotalTop="0" showAll="0" dataSourceSort="1" defaultSubtotal="0" defaultAttributeDrillState="1"/>
    <pivotField dataField="1" subtotalTop="0" showAll="0" defaultSubtotal="0"/>
    <pivotField dataField="1" subtotalTop="0" showAll="0" defaultSubtotal="0"/>
  </pivotFields>
  <rowItems count="1">
    <i/>
  </rowItems>
  <colFields count="1">
    <field x="-2"/>
  </colFields>
  <colItems count="2">
    <i>
      <x/>
    </i>
    <i i="1">
      <x v="1"/>
    </i>
  </colItems>
  <pageFields count="1">
    <pageField fld="0" hier="2" name="[Table1].[Status].&amp;[Attended]" cap="Attended"/>
  </pageFields>
  <dataFields count="2">
    <dataField name="Count of Status" fld="2" subtotal="count" baseField="0" baseItem="0"/>
    <dataField name="Distinct Count of Patient ID" fld="1" subtotal="count" baseField="0" baseItem="0">
      <extLst>
        <ext xmlns:x15="http://schemas.microsoft.com/office/spreadsheetml/2010/11/main" uri="{FABC7310-3BB5-11E1-824E-6D434824019B}">
          <x15:dataField isCountDistinct="1"/>
        </ext>
      </extLst>
    </dataField>
  </dataFields>
  <pivotHierarchies count="11">
    <pivotHierarchy dragToData="1"/>
    <pivotHierarchy dragToData="1"/>
    <pivotHierarchy multipleItemSelectionAllowed="1" dragToData="1">
      <members count="1" level="1">
        <member name="[Table1].[Status].&amp;[Attended]"/>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Patient ID"/>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38BE88-2E15-47B2-A3CC-7A72B6260BDC}" name="PivotTable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1" firstDataRow="2" firstDataCol="1"/>
  <pivotFields count="8">
    <pivotField dataField="1" showAll="0"/>
    <pivotField showAll="0"/>
    <pivotField axis="axisCol" showAll="0">
      <items count="8">
        <item x="0"/>
        <item x="2"/>
        <item x="1"/>
        <item m="1" x="6"/>
        <item m="1" x="5"/>
        <item m="1" x="4"/>
        <item m="1" x="3"/>
        <item t="default"/>
      </items>
    </pivotField>
    <pivotField showAll="0">
      <items count="3">
        <item h="1" x="0"/>
        <item x="1"/>
        <item t="default"/>
      </items>
    </pivotField>
    <pivotField showAll="0"/>
    <pivotField numFmtId="14" showAll="0">
      <items count="10">
        <item x="0"/>
        <item x="1"/>
        <item x="2"/>
        <item x="3"/>
        <item x="4"/>
        <item x="5"/>
        <item x="6"/>
        <item x="7"/>
        <item x="8"/>
        <item t="default"/>
      </items>
    </pivotField>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7"/>
    <field x="6"/>
  </rowFields>
  <rowItems count="3">
    <i>
      <x v="1"/>
    </i>
    <i r="1">
      <x v="10"/>
    </i>
    <i t="grand">
      <x/>
    </i>
  </rowItems>
  <colFields count="1">
    <field x="2"/>
  </colFields>
  <colItems count="3">
    <i>
      <x/>
    </i>
    <i>
      <x v="2"/>
    </i>
    <i t="grand">
      <x/>
    </i>
  </colItems>
  <dataFields count="1">
    <dataField name="Count of Appointm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F34623-5D32-4568-B5B0-1F5E9197BEA6}"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7" firstHeaderRow="1" firstDataRow="2" firstDataCol="1"/>
  <pivotFields count="7">
    <pivotField dataField="1" showAll="0"/>
    <pivotField showAll="0"/>
    <pivotField axis="axisRow" showAll="0">
      <items count="3">
        <item x="0"/>
        <item x="1"/>
        <item t="default"/>
      </items>
    </pivotField>
    <pivotField numFmtId="14" showAll="0"/>
    <pivotField axis="axisCol" showAll="0">
      <items count="4">
        <item x="0"/>
        <item x="1"/>
        <item x="2"/>
        <item t="default"/>
      </items>
    </pivotField>
    <pivotField showAll="0"/>
    <pivotField showAll="0"/>
  </pivotFields>
  <rowFields count="1">
    <field x="2"/>
  </rowFields>
  <rowItems count="3">
    <i>
      <x/>
    </i>
    <i>
      <x v="1"/>
    </i>
    <i t="grand">
      <x/>
    </i>
  </rowItems>
  <colFields count="1">
    <field x="4"/>
  </colFields>
  <colItems count="4">
    <i>
      <x/>
    </i>
    <i>
      <x v="1"/>
    </i>
    <i>
      <x v="2"/>
    </i>
    <i t="grand">
      <x/>
    </i>
  </colItems>
  <dataFields count="1">
    <dataField name="Count of Appointm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AC77E42-0AA8-42B7-A53B-6C44EF823FFC}" autoFormatId="16" applyNumberFormats="0" applyBorderFormats="0" applyFontFormats="0" applyPatternFormats="0" applyAlignmentFormats="0" applyWidthHeightFormats="0">
  <queryTableRefresh nextId="14">
    <queryTableFields count="7">
      <queryTableField id="1" name="Appointment ID" tableColumnId="1"/>
      <queryTableField id="2" name="Patient ID" tableColumnId="2"/>
      <queryTableField id="4" name="Clinic" tableColumnId="4"/>
      <queryTableField id="6" name="Appointment Date" tableColumnId="6"/>
      <queryTableField id="3" name="Status" tableColumnId="3"/>
      <queryTableField id="10" name="StatusReview" tableColumnId="7"/>
      <queryTableField id="5" name="Age Group"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7" xr16:uid="{CD04F3D5-7B1B-4961-93C7-1A896E445B18}" autoFormatId="16" applyNumberFormats="0" applyBorderFormats="0" applyFontFormats="0" applyPatternFormats="0" applyAlignmentFormats="0" applyWidthHeightFormats="0">
  <queryTableRefresh nextId="11">
    <queryTableFields count="7">
      <queryTableField id="1" name="Appointment ID" tableColumnId="1"/>
      <queryTableField id="2" name="Patient ID" tableColumnId="2"/>
      <queryTableField id="3" name="Clinic" tableColumnId="3"/>
      <queryTableField id="5" name="Appointment Date" tableColumnId="5"/>
      <queryTableField id="6" name="Status" tableColumnId="6"/>
      <queryTableField id="7" name="StatusReview" tableColumnId="7"/>
      <queryTableField id="4" name="Age Group"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266900E0-94A0-447C-B459-F8F3BFA51B6B}" autoFormatId="16" applyNumberFormats="0" applyBorderFormats="0" applyFontFormats="0" applyPatternFormats="0" applyAlignmentFormats="0" applyWidthHeightFormats="0">
  <queryTableRefresh nextId="3">
    <queryTableFields count="2">
      <queryTableField id="1" name="Patient ID" tableColumnId="1"/>
      <queryTableField id="2" name="RowCoun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D033CBE2-0796-4557-9728-C61DC8BEF161}" autoFormatId="16" applyNumberFormats="0" applyBorderFormats="0" applyFontFormats="0" applyPatternFormats="0" applyAlignmentFormats="0" applyWidthHeightFormats="0">
  <queryTableRefresh nextId="3">
    <queryTableFields count="2">
      <queryTableField id="1" name="Appointment ID" tableColumnId="1"/>
      <queryTableField id="2" name="RowCount"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8" xr16:uid="{26E39248-7520-470C-80E9-DBD5B5D67B2D}" autoFormatId="16" applyNumberFormats="0" applyBorderFormats="0" applyFontFormats="0" applyPatternFormats="0" applyAlignmentFormats="0" applyWidthHeightFormats="0">
  <queryTableRefresh nextId="8">
    <queryTableFields count="7">
      <queryTableField id="1" name="Appointment ID" tableColumnId="1"/>
      <queryTableField id="2" name="Patient ID" tableColumnId="2"/>
      <queryTableField id="3" name="Clinic" tableColumnId="3"/>
      <queryTableField id="4" name="Appointment Date" tableColumnId="4"/>
      <queryTableField id="5" name="Status" tableColumnId="5"/>
      <queryTableField id="6" name="StatusReview" tableColumnId="6"/>
      <queryTableField id="7" name="Age Group"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nic" xr10:uid="{ECF55E6F-AF38-4744-8DD1-33C41FCF32E3}" sourceName="Clinic">
  <pivotTables>
    <pivotTable tabId="9" name="PivotTable5"/>
  </pivotTables>
  <data>
    <tabular pivotCacheId="2045543216">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nic" xr10:uid="{465F7982-7F79-45D5-91F8-6C83E0F1E1C1}" cache="Slicer_Clinic" caption="Clinic" rowHeight="2476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7E52A8-9E9F-4C95-ABAD-0C2EA0A9690A}" name="Table1" displayName="Table1" ref="A1:F11" totalsRowShown="0" headerRowDxfId="29" dataDxfId="28">
  <autoFilter ref="A1:F11" xr:uid="{2F7E52A8-9E9F-4C95-ABAD-0C2EA0A9690A}"/>
  <tableColumns count="6">
    <tableColumn id="1" xr3:uid="{3A87E7E5-9185-42D6-A157-F280C39ABF28}" name="Appointment ID" dataDxfId="27"/>
    <tableColumn id="2" xr3:uid="{16DB0A54-17CF-457E-8B8D-400237152316}" name="Patient ID" dataDxfId="26"/>
    <tableColumn id="3" xr3:uid="{6169A33B-2729-4849-BFEB-36D0208EF101}" name="Status" dataDxfId="25"/>
    <tableColumn id="4" xr3:uid="{C7077D35-6DEC-47A8-8A97-13D5CBC0B297}" name="Clinic" dataDxfId="24"/>
    <tableColumn id="5" xr3:uid="{79E4B368-641C-4386-8966-3E94D02EFB5D}" name="Age Group" dataDxfId="23">
      <calculatedColumnFormula>_xlfn.XLOOKUP(B2,Patients[Patient ID],Patients[Age Group],"Not found")</calculatedColumnFormula>
    </tableColumn>
    <tableColumn id="6" xr3:uid="{14E8A003-B5A7-4BC2-9C87-BD1386F186F6}" name="Appointment Date"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ED6D8E-8D84-42F7-B6E7-798600E0F456}" name="Patients" displayName="Patients" ref="J1:K8" totalsRowShown="0" headerRowDxfId="21" dataDxfId="20">
  <autoFilter ref="J1:K8" xr:uid="{74ED6D8E-8D84-42F7-B6E7-798600E0F456}"/>
  <tableColumns count="2">
    <tableColumn id="1" xr3:uid="{7A5AE825-1552-4DB1-9F5A-C44029386584}" name="Patient ID" dataDxfId="19"/>
    <tableColumn id="2" xr3:uid="{ADB8DE67-DBD6-4611-81A6-1F5556A75A80}" name="Age Group"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A41D72-45A3-4342-9279-BAADA5325A22}" name="CleanAppointments" displayName="CleanAppointments" ref="A1:G16" tableType="queryTable" totalsRowShown="0" headerRowDxfId="17" dataDxfId="16">
  <autoFilter ref="A1:G16" xr:uid="{01A41D72-45A3-4342-9279-BAADA5325A22}"/>
  <tableColumns count="7">
    <tableColumn id="1" xr3:uid="{80CF0680-BC84-4E27-88B7-2936F100A867}" uniqueName="1" name="Appointment ID" queryTableFieldId="1" dataDxfId="8"/>
    <tableColumn id="2" xr3:uid="{C393F3E5-57B8-4940-A6BC-6EB7C9C71E28}" uniqueName="2" name="Patient ID" queryTableFieldId="2" dataDxfId="7"/>
    <tableColumn id="4" xr3:uid="{A83183F8-B3B4-496D-B98E-1E789D4DEA56}" uniqueName="4" name="Clinic" queryTableFieldId="4" dataDxfId="6"/>
    <tableColumn id="6" xr3:uid="{5055F074-6706-42BF-81FE-EF7DB406ED16}" uniqueName="6" name="Appointment Date" queryTableFieldId="6" dataDxfId="5"/>
    <tableColumn id="3" xr3:uid="{8B2027A6-8109-4558-9880-EBE75750252A}" uniqueName="3" name="Status" queryTableFieldId="3" dataDxfId="4"/>
    <tableColumn id="7" xr3:uid="{3295C6AA-FED1-4CAE-8416-60A18727EFB1}" uniqueName="7" name="StatusReview" queryTableFieldId="10" dataDxfId="3"/>
    <tableColumn id="5" xr3:uid="{97F68D6A-0F11-40F9-957D-7516332E62F1}" uniqueName="5" name="Age Group" queryTableFieldId="5" dataDxf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D9EFE8B-F547-48C9-8AD5-1FD42919D88B}" name="Table8" displayName="Table8" ref="A1:E6" totalsRowShown="0" headerRowDxfId="15" dataDxfId="14">
  <autoFilter ref="A1:E6" xr:uid="{CD9EFE8B-F547-48C9-8AD5-1FD42919D88B}"/>
  <tableColumns count="5">
    <tableColumn id="1" xr3:uid="{8193D71F-0EDA-4647-AA0E-540893983F69}" name="Appointment ID" dataDxfId="13"/>
    <tableColumn id="2" xr3:uid="{BE25CEA0-BA16-4F34-AA4B-D8B7085C4E55}" name="Patient ID" dataDxfId="12"/>
    <tableColumn id="3" xr3:uid="{1DCFA95E-C8BD-4200-A1C3-7B03584FE4B6}" name="Status" dataDxfId="11"/>
    <tableColumn id="4" xr3:uid="{8121111C-E778-4825-88DB-83F100FC853A}" name="Clinic" dataDxfId="10"/>
    <tableColumn id="5" xr3:uid="{86E24E7C-BA28-4DFB-A99E-A4F62B17E7E2}" name="Appointment Date" dataDxfId="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B9E693-5FD9-4027-A9DF-CF44F6F2BAC5}" name="StatusReviewQueue" displayName="StatusReviewQueue" ref="A1:G2" tableType="queryTable" insertRow="1" totalsRowShown="0">
  <autoFilter ref="A1:G2" xr:uid="{E5B9E693-5FD9-4027-A9DF-CF44F6F2BAC5}"/>
  <tableColumns count="7">
    <tableColumn id="1" xr3:uid="{2C46C12E-8F2A-48B2-91F0-7667F26BE73D}" uniqueName="1" name="Appointment ID" queryTableFieldId="1"/>
    <tableColumn id="2" xr3:uid="{B2945E4A-9697-4B13-97D6-E5E0A4C212A6}" uniqueName="2" name="Patient ID" queryTableFieldId="2"/>
    <tableColumn id="3" xr3:uid="{981389C0-F7EB-405C-A2AE-BD60A130D449}" uniqueName="3" name="Clinic" queryTableFieldId="3"/>
    <tableColumn id="5" xr3:uid="{45D1333F-CAA9-434C-9B7F-8282573E0725}" uniqueName="5" name="Appointment Date" queryTableFieldId="5" dataDxfId="1"/>
    <tableColumn id="6" xr3:uid="{AB658349-B1B6-4B7B-A3EC-A944941F506D}" uniqueName="6" name="Status" queryTableFieldId="6"/>
    <tableColumn id="7" xr3:uid="{09370D40-F151-4AC4-8040-73A4E3626843}" uniqueName="7" name="StatusReview" queryTableFieldId="7"/>
    <tableColumn id="4" xr3:uid="{F1888D1F-27E1-4AF3-97E5-164310BB8E2E}" uniqueName="4" name="Age Group"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767065B-6F2B-4CD2-94F5-979526C6AD18}" name="DuplicatePatientIDs" displayName="DuplicatePatientIDs" ref="A1:B2" tableType="queryTable" insertRow="1" totalsRowShown="0">
  <autoFilter ref="A1:B2" xr:uid="{D767065B-6F2B-4CD2-94F5-979526C6AD18}"/>
  <tableColumns count="2">
    <tableColumn id="1" xr3:uid="{4F61F2C5-117E-4627-8D6B-A04FAE06939C}" uniqueName="1" name="Patient ID" queryTableFieldId="1"/>
    <tableColumn id="2" xr3:uid="{25F19B20-0D9E-4111-B878-34FC8020FBCB}" uniqueName="2" name="RowCount"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6DB787E-01C5-4F0E-90BD-A32DE261FD10}" name="DuplicateAppointmentIDs" displayName="DuplicateAppointmentIDs" ref="A1:B2" tableType="queryTable" insertRow="1" totalsRowShown="0">
  <autoFilter ref="A1:B2" xr:uid="{66DB787E-01C5-4F0E-90BD-A32DE261FD10}"/>
  <tableColumns count="2">
    <tableColumn id="1" xr3:uid="{F2595D19-2C04-458D-A758-D4DC4D19DA49}" uniqueName="1" name="Appointment ID" queryTableFieldId="1"/>
    <tableColumn id="2" xr3:uid="{9DB2B81C-E5DD-451F-99CF-E9687E4F1AD9}" uniqueName="2" name="RowCount" queryTableFieldId="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F6DB81C-934F-48E5-9380-21AB28D3EA87}" name="UnmatchedPatients" displayName="UnmatchedPatients" ref="A1:G2" tableType="queryTable" insertRow="1" totalsRowShown="0">
  <autoFilter ref="A1:G2" xr:uid="{BF6DB81C-934F-48E5-9380-21AB28D3EA87}"/>
  <tableColumns count="7">
    <tableColumn id="1" xr3:uid="{89C0AFE1-623D-4E8F-82E8-E95796165B62}" uniqueName="1" name="Appointment ID" queryTableFieldId="1"/>
    <tableColumn id="2" xr3:uid="{DA9319EF-8169-417F-A0B5-58F69D14F60E}" uniqueName="2" name="Patient ID" queryTableFieldId="2"/>
    <tableColumn id="3" xr3:uid="{D2199388-327F-4167-941A-A58B354516FD}" uniqueName="3" name="Clinic" queryTableFieldId="3"/>
    <tableColumn id="4" xr3:uid="{BA834B60-28FD-4036-9ED8-4FDF01770DB7}" uniqueName="4" name="Appointment Date" queryTableFieldId="4" dataDxfId="0"/>
    <tableColumn id="5" xr3:uid="{AABFA3BE-B462-492E-8685-C91EF85DD20D}" uniqueName="5" name="Status" queryTableFieldId="5"/>
    <tableColumn id="6" xr3:uid="{E72C4F30-4A19-4688-87AA-C24BF91B86FA}" uniqueName="6" name="StatusReview" queryTableFieldId="6"/>
    <tableColumn id="7" xr3:uid="{E8C59254-D32D-45A5-9383-E2E2F738016F}" uniqueName="7" name="Age Group"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148C3-F9BD-45E2-9CD0-CC502C0AA12B}">
  <sheetPr>
    <pageSetUpPr fitToPage="1"/>
  </sheetPr>
  <dimension ref="A1:R24"/>
  <sheetViews>
    <sheetView zoomScaleNormal="100" workbookViewId="0">
      <selection activeCell="A15" sqref="A15:C20"/>
    </sheetView>
  </sheetViews>
  <sheetFormatPr defaultRowHeight="14.4"/>
  <cols>
    <col min="1" max="1" width="21.88671875" customWidth="1"/>
    <col min="2" max="2" width="22" customWidth="1"/>
    <col min="3" max="3" width="20.5546875" customWidth="1"/>
    <col min="4" max="4" width="19" customWidth="1"/>
  </cols>
  <sheetData>
    <row r="1" spans="1:18" ht="28.8">
      <c r="A1" s="29" t="s">
        <v>63</v>
      </c>
      <c r="B1" s="29"/>
      <c r="C1" s="29"/>
      <c r="D1" s="29"/>
      <c r="E1" s="29"/>
      <c r="F1" s="29"/>
      <c r="G1" s="29"/>
      <c r="H1" s="29"/>
      <c r="I1" s="29"/>
      <c r="J1" s="29"/>
      <c r="K1" s="29"/>
      <c r="L1" s="29"/>
      <c r="M1" s="29"/>
      <c r="N1" s="29"/>
      <c r="O1" s="29"/>
      <c r="P1" s="29"/>
      <c r="Q1" s="29"/>
      <c r="R1" s="29"/>
    </row>
    <row r="2" spans="1:18" ht="28.8">
      <c r="A2" s="29" t="s">
        <v>64</v>
      </c>
      <c r="B2" s="29"/>
      <c r="C2" s="29"/>
      <c r="D2" s="29"/>
      <c r="E2" s="29"/>
      <c r="F2" s="29"/>
      <c r="G2" s="29"/>
      <c r="H2" s="29"/>
      <c r="I2" s="29"/>
      <c r="J2" s="29"/>
      <c r="K2" s="29"/>
      <c r="L2" s="29"/>
      <c r="M2" s="29"/>
      <c r="N2" s="29"/>
      <c r="O2" s="29"/>
      <c r="P2" s="29"/>
      <c r="Q2" s="29"/>
      <c r="R2" s="29"/>
    </row>
    <row r="3" spans="1:18" s="24" customFormat="1">
      <c r="A3" s="27"/>
      <c r="B3" s="27"/>
      <c r="C3" s="27"/>
      <c r="D3" s="27"/>
      <c r="E3" s="27"/>
      <c r="F3" s="27"/>
      <c r="G3" s="27"/>
      <c r="H3" s="27"/>
      <c r="I3" s="27"/>
      <c r="J3" s="27"/>
      <c r="K3" s="27"/>
      <c r="L3" s="27"/>
      <c r="M3" s="27"/>
      <c r="N3" s="27"/>
      <c r="O3" s="27"/>
      <c r="P3" s="27"/>
      <c r="Q3" s="27"/>
      <c r="R3" s="27"/>
    </row>
    <row r="4" spans="1:18" s="18" customFormat="1" ht="18">
      <c r="A4" s="20" t="s">
        <v>65</v>
      </c>
      <c r="B4" s="20" t="s">
        <v>0</v>
      </c>
      <c r="C4" s="20" t="s">
        <v>31</v>
      </c>
      <c r="D4" s="20" t="s">
        <v>2</v>
      </c>
      <c r="E4" s="30"/>
      <c r="F4" s="30"/>
      <c r="G4" s="30"/>
      <c r="H4" s="30"/>
    </row>
    <row r="5" spans="1:18" s="14" customFormat="1">
      <c r="A5" s="19">
        <f>COUNTA(CleanAppointments[Appointment ID])</f>
        <v>15</v>
      </c>
      <c r="B5" s="19">
        <f>COUNTIF(CleanAppointments[Status], "Attended")</f>
        <v>10</v>
      </c>
      <c r="C5" s="19">
        <f>COUNTIF(CleanAppointments[Status], "Did Not Attend")</f>
        <v>3</v>
      </c>
      <c r="D5" s="19">
        <f>COUNTIF(CleanAppointments[Status], "Unknown")</f>
        <v>2</v>
      </c>
      <c r="E5" s="30"/>
      <c r="F5" s="30"/>
      <c r="G5" s="30"/>
      <c r="H5" s="30"/>
    </row>
    <row r="6" spans="1:18">
      <c r="A6" s="27"/>
      <c r="B6" s="27"/>
      <c r="C6" s="27"/>
      <c r="D6" s="27"/>
      <c r="E6" s="30"/>
      <c r="F6" s="30"/>
      <c r="G6" s="30"/>
      <c r="H6" s="30"/>
    </row>
    <row r="7" spans="1:18" ht="18">
      <c r="A7" s="28" t="s">
        <v>66</v>
      </c>
      <c r="B7" s="28"/>
      <c r="C7" s="21">
        <f>IF(B5+C5=0,"No known statuses",B5/(B5+C5))</f>
        <v>0.76923076923076927</v>
      </c>
      <c r="D7" s="27"/>
      <c r="E7" s="30"/>
      <c r="F7" s="30"/>
      <c r="G7" s="30"/>
      <c r="H7" s="30"/>
    </row>
    <row r="8" spans="1:18" ht="18">
      <c r="A8" s="28" t="s">
        <v>67</v>
      </c>
      <c r="B8" s="28"/>
      <c r="C8" s="21">
        <f>IF(A5=0,"No appointments",D5/A5)</f>
        <v>0.13333333333333333</v>
      </c>
      <c r="D8" s="27"/>
      <c r="E8" s="30"/>
      <c r="F8" s="30"/>
      <c r="G8" s="30"/>
      <c r="H8" s="30"/>
    </row>
    <row r="9" spans="1:18">
      <c r="A9" s="27"/>
      <c r="B9" s="27"/>
      <c r="C9" s="27"/>
      <c r="D9" s="27"/>
      <c r="E9" s="30"/>
      <c r="F9" s="30"/>
      <c r="G9" s="30"/>
      <c r="H9" s="30"/>
    </row>
    <row r="10" spans="1:18">
      <c r="A10" s="27"/>
      <c r="B10" s="27"/>
      <c r="C10" s="27"/>
      <c r="D10" s="27"/>
      <c r="E10" s="30"/>
      <c r="F10" s="30"/>
      <c r="G10" s="30"/>
      <c r="H10" s="30"/>
    </row>
    <row r="11" spans="1:18" ht="18">
      <c r="A11" s="20" t="s">
        <v>13</v>
      </c>
      <c r="B11" s="20" t="s">
        <v>0</v>
      </c>
      <c r="C11" s="20" t="s">
        <v>31</v>
      </c>
      <c r="D11" s="20" t="s">
        <v>2</v>
      </c>
      <c r="E11" s="30"/>
      <c r="F11" s="30"/>
      <c r="G11" s="30"/>
      <c r="H11" s="30"/>
    </row>
    <row r="12" spans="1:18" ht="18">
      <c r="A12" s="22" t="s">
        <v>15</v>
      </c>
      <c r="B12" s="23">
        <f>COUNTIFS(CleanAppointments[Clinic],$A12,CleanAppointments[Status],B$11)</f>
        <v>6</v>
      </c>
      <c r="C12" s="23">
        <f>COUNTIFS(CleanAppointments[Clinic],$A12,CleanAppointments[Status],C$11)</f>
        <v>1</v>
      </c>
      <c r="D12" s="23">
        <f>COUNTIFS(CleanAppointments[Clinic],$A12,CleanAppointments[Status],D$11)</f>
        <v>1</v>
      </c>
      <c r="E12" s="30"/>
      <c r="F12" s="30"/>
      <c r="G12" s="30"/>
      <c r="H12" s="30"/>
    </row>
    <row r="13" spans="1:18" ht="18">
      <c r="A13" s="22" t="s">
        <v>16</v>
      </c>
      <c r="B13" s="23">
        <f>COUNTIFS(CleanAppointments[Clinic],$A13,CleanAppointments[Status],B$11)</f>
        <v>4</v>
      </c>
      <c r="C13" s="23">
        <f>COUNTIFS(CleanAppointments[Clinic],$A13,CleanAppointments[Status],C$11)</f>
        <v>2</v>
      </c>
      <c r="D13" s="23">
        <f>COUNTIFS(CleanAppointments[Clinic],$A13,CleanAppointments[Status],D$11)</f>
        <v>1</v>
      </c>
      <c r="E13" s="30"/>
      <c r="F13" s="30"/>
      <c r="G13" s="30"/>
      <c r="H13" s="30"/>
    </row>
    <row r="14" spans="1:18">
      <c r="A14" s="25"/>
      <c r="B14" s="25"/>
      <c r="C14" s="25"/>
      <c r="D14" s="25"/>
    </row>
    <row r="15" spans="1:18">
      <c r="A15" s="26" t="s">
        <v>69</v>
      </c>
      <c r="B15" s="26"/>
      <c r="C15" s="26"/>
      <c r="D15" s="25"/>
    </row>
    <row r="16" spans="1:18">
      <c r="A16" s="26"/>
      <c r="B16" s="26"/>
      <c r="C16" s="26"/>
      <c r="D16" s="25"/>
    </row>
    <row r="17" spans="1:18">
      <c r="A17" s="26"/>
      <c r="B17" s="26"/>
      <c r="C17" s="26"/>
      <c r="D17" s="25"/>
    </row>
    <row r="18" spans="1:18">
      <c r="A18" s="26"/>
      <c r="B18" s="26"/>
      <c r="C18" s="26"/>
      <c r="D18" s="25"/>
    </row>
    <row r="19" spans="1:18">
      <c r="A19" s="26"/>
      <c r="B19" s="26"/>
      <c r="C19" s="26"/>
      <c r="D19" s="25"/>
    </row>
    <row r="20" spans="1:18">
      <c r="A20" s="26"/>
      <c r="B20" s="26"/>
      <c r="C20" s="26"/>
      <c r="D20" s="25"/>
    </row>
    <row r="21" spans="1:18">
      <c r="A21" s="27"/>
      <c r="B21" s="27"/>
      <c r="C21" s="27"/>
      <c r="D21" s="25"/>
    </row>
    <row r="22" spans="1:18">
      <c r="A22" s="27"/>
      <c r="B22" s="27"/>
      <c r="C22" s="27"/>
      <c r="D22" s="25"/>
    </row>
    <row r="23" spans="1:18">
      <c r="A23" s="27"/>
      <c r="B23" s="27"/>
      <c r="C23" s="27"/>
      <c r="D23" s="25"/>
    </row>
    <row r="24" spans="1:18">
      <c r="A24" s="27"/>
      <c r="B24" s="27"/>
      <c r="C24" s="27"/>
      <c r="D24" s="25"/>
      <c r="E24" s="25"/>
      <c r="F24" s="25"/>
      <c r="G24" s="25"/>
      <c r="H24" s="25"/>
      <c r="I24" s="25"/>
      <c r="J24" s="25"/>
      <c r="K24" s="25"/>
      <c r="L24" s="25"/>
      <c r="M24" s="25"/>
      <c r="N24" s="25"/>
      <c r="O24" s="25"/>
      <c r="P24" s="25"/>
      <c r="Q24" s="25"/>
      <c r="R24" s="25"/>
    </row>
  </sheetData>
  <mergeCells count="14">
    <mergeCell ref="A8:B8"/>
    <mergeCell ref="A1:R1"/>
    <mergeCell ref="A2:R2"/>
    <mergeCell ref="A3:R3"/>
    <mergeCell ref="E4:H13"/>
    <mergeCell ref="A6:D6"/>
    <mergeCell ref="D7:D10"/>
    <mergeCell ref="A9:C10"/>
    <mergeCell ref="A7:B7"/>
    <mergeCell ref="E24:R24"/>
    <mergeCell ref="A15:C20"/>
    <mergeCell ref="A14:D14"/>
    <mergeCell ref="D15:D24"/>
    <mergeCell ref="A21:C24"/>
  </mergeCells>
  <pageMargins left="0.7" right="0.7" top="0.75" bottom="0.75" header="0.3" footer="0.3"/>
  <pageSetup scale="5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8264C-D077-44C3-90D1-DF0C01DC9FE4}">
  <dimension ref="A1:L11"/>
  <sheetViews>
    <sheetView zoomScale="115" zoomScaleNormal="100" workbookViewId="0">
      <selection activeCell="L8" sqref="L8"/>
    </sheetView>
  </sheetViews>
  <sheetFormatPr defaultRowHeight="14.4"/>
  <cols>
    <col min="1" max="1" width="18.5546875" style="2" bestFit="1" customWidth="1"/>
    <col min="2" max="2" width="13.5546875" style="2" bestFit="1" customWidth="1"/>
    <col min="3" max="3" width="12.44140625" style="2" bestFit="1" customWidth="1"/>
    <col min="4" max="4" width="10.33203125" style="2" bestFit="1" customWidth="1"/>
    <col min="5" max="5" width="13.88671875" style="2" bestFit="1" customWidth="1"/>
    <col min="6" max="6" width="20.6640625" style="2" bestFit="1" customWidth="1"/>
    <col min="7" max="9" width="8.88671875" style="2"/>
    <col min="10" max="10" width="13.5546875" style="2" bestFit="1" customWidth="1"/>
    <col min="11" max="11" width="13.88671875" style="2" bestFit="1" customWidth="1"/>
    <col min="12" max="12" width="15.77734375" style="2" customWidth="1"/>
    <col min="13" max="16384" width="8.88671875" style="2"/>
  </cols>
  <sheetData>
    <row r="1" spans="1:12" s="5" customFormat="1">
      <c r="A1" s="5" t="s">
        <v>23</v>
      </c>
      <c r="B1" s="5" t="s">
        <v>24</v>
      </c>
      <c r="C1" s="5" t="s">
        <v>25</v>
      </c>
      <c r="D1" s="5" t="s">
        <v>13</v>
      </c>
      <c r="E1" s="5" t="s">
        <v>42</v>
      </c>
      <c r="F1" s="5" t="s">
        <v>51</v>
      </c>
      <c r="J1" s="7" t="s">
        <v>24</v>
      </c>
      <c r="K1" s="7" t="s">
        <v>42</v>
      </c>
    </row>
    <row r="2" spans="1:12">
      <c r="A2" s="2" t="s">
        <v>26</v>
      </c>
      <c r="B2" s="2" t="s">
        <v>27</v>
      </c>
      <c r="C2" s="2" t="s">
        <v>0</v>
      </c>
      <c r="D2" s="2" t="s">
        <v>15</v>
      </c>
      <c r="E2" s="2" t="str">
        <f>_xlfn.XLOOKUP(B2,Patients[Patient ID],Patients[Age Group],"Not found")</f>
        <v>18-34</v>
      </c>
      <c r="F2" s="16">
        <v>46266</v>
      </c>
      <c r="J2" s="4" t="s">
        <v>27</v>
      </c>
      <c r="K2" s="4" t="s">
        <v>70</v>
      </c>
      <c r="L2" s="2" t="str">
        <f>IF(COUNTIF($J$2:$J$8, J2)&gt;1, "Duplicate", "Unique")</f>
        <v>Unique</v>
      </c>
    </row>
    <row r="3" spans="1:12">
      <c r="A3" s="2" t="s">
        <v>28</v>
      </c>
      <c r="B3" s="2" t="s">
        <v>29</v>
      </c>
      <c r="C3" s="2" t="s">
        <v>2</v>
      </c>
      <c r="D3" s="2" t="s">
        <v>15</v>
      </c>
      <c r="E3" s="2" t="str">
        <f>_xlfn.XLOOKUP(B3,Patients[Patient ID],Patients[Age Group],"Not found")</f>
        <v>35-49</v>
      </c>
      <c r="F3" s="16">
        <v>46270</v>
      </c>
      <c r="J3" s="4" t="s">
        <v>29</v>
      </c>
      <c r="K3" s="4" t="s">
        <v>44</v>
      </c>
      <c r="L3" s="2" t="str">
        <f>IF(COUNTIF($J$2:$J$8, J3)&gt;1, "Duplicate", "Unique")</f>
        <v>Unique</v>
      </c>
    </row>
    <row r="4" spans="1:12">
      <c r="A4" s="2" t="s">
        <v>30</v>
      </c>
      <c r="B4" s="2" t="s">
        <v>27</v>
      </c>
      <c r="C4" s="2" t="s">
        <v>31</v>
      </c>
      <c r="D4" s="2" t="s">
        <v>15</v>
      </c>
      <c r="E4" s="2" t="str">
        <f>_xlfn.XLOOKUP(B4,Patients[Patient ID],Patients[Age Group],"Not found")</f>
        <v>18-34</v>
      </c>
      <c r="F4" s="16">
        <v>46275</v>
      </c>
      <c r="J4" s="4" t="s">
        <v>33</v>
      </c>
      <c r="K4" s="4" t="s">
        <v>46</v>
      </c>
      <c r="L4" s="2" t="str">
        <f>IF(COUNTIF($J$2:$J$8, J4)&gt;1, "Duplicate", "Unique")</f>
        <v>Unique</v>
      </c>
    </row>
    <row r="5" spans="1:12">
      <c r="A5" s="2" t="s">
        <v>32</v>
      </c>
      <c r="B5" s="2" t="s">
        <v>33</v>
      </c>
      <c r="C5" s="2" t="s">
        <v>2</v>
      </c>
      <c r="D5" s="2" t="s">
        <v>16</v>
      </c>
      <c r="E5" s="2" t="str">
        <f>_xlfn.XLOOKUP(B5,Patients[Patient ID],Patients[Age Group],"Not found")</f>
        <v>50-64</v>
      </c>
      <c r="F5" s="16">
        <v>46296</v>
      </c>
      <c r="J5" s="4" t="s">
        <v>35</v>
      </c>
      <c r="K5" s="4" t="s">
        <v>43</v>
      </c>
      <c r="L5" s="2" t="str">
        <f>IF(COUNTIF($J$2:$J$8, J5)&gt;1, "Duplicate", "Unique")</f>
        <v>Unique</v>
      </c>
    </row>
    <row r="6" spans="1:12">
      <c r="A6" s="2" t="s">
        <v>34</v>
      </c>
      <c r="B6" s="2" t="s">
        <v>35</v>
      </c>
      <c r="C6" s="2" t="s">
        <v>0</v>
      </c>
      <c r="D6" s="2" t="s">
        <v>16</v>
      </c>
      <c r="E6" s="2" t="str">
        <f>_xlfn.XLOOKUP(B6,Patients[Patient ID],Patients[Age Group],"Not found")</f>
        <v>65+</v>
      </c>
      <c r="F6" s="16">
        <v>46300</v>
      </c>
      <c r="J6" s="2" t="s">
        <v>40</v>
      </c>
      <c r="K6" s="2" t="s">
        <v>44</v>
      </c>
      <c r="L6" s="2" t="str">
        <f>IF(COUNTIF($J$2:$J$8, J6)&gt;1, "Duplicate", "Unique")</f>
        <v>Unique</v>
      </c>
    </row>
    <row r="7" spans="1:12">
      <c r="A7" s="2" t="s">
        <v>39</v>
      </c>
      <c r="B7" s="2" t="s">
        <v>40</v>
      </c>
      <c r="C7" s="2" t="s">
        <v>0</v>
      </c>
      <c r="D7" s="2" t="s">
        <v>16</v>
      </c>
      <c r="E7" s="2" t="str">
        <f>_xlfn.XLOOKUP(B7,Patients[Patient ID],Patients[Age Group],"Not found")</f>
        <v>35-49</v>
      </c>
      <c r="F7" s="16">
        <v>46305</v>
      </c>
      <c r="J7" s="4" t="s">
        <v>45</v>
      </c>
      <c r="K7" s="4" t="s">
        <v>46</v>
      </c>
    </row>
    <row r="8" spans="1:12">
      <c r="A8" s="2" t="s">
        <v>47</v>
      </c>
      <c r="B8" s="2" t="s">
        <v>45</v>
      </c>
      <c r="C8" s="2" t="s">
        <v>0</v>
      </c>
      <c r="D8" s="2" t="s">
        <v>16</v>
      </c>
      <c r="E8" s="2" t="str">
        <f>_xlfn.XLOOKUP(B8,Patients[Patient ID],Patients[Age Group],"Not found")</f>
        <v>50-64</v>
      </c>
      <c r="F8" s="16">
        <v>46310</v>
      </c>
      <c r="J8" s="4" t="s">
        <v>59</v>
      </c>
      <c r="K8" s="4" t="s">
        <v>44</v>
      </c>
    </row>
    <row r="9" spans="1:12">
      <c r="A9" s="2" t="s">
        <v>49</v>
      </c>
      <c r="B9" s="2" t="s">
        <v>27</v>
      </c>
      <c r="C9" s="2" t="s">
        <v>0</v>
      </c>
      <c r="D9" s="2" t="s">
        <v>15</v>
      </c>
      <c r="E9" s="2" t="str">
        <f>_xlfn.XLOOKUP(B9,Patients[Patient ID],Patients[Age Group],"Not found")</f>
        <v>18-34</v>
      </c>
      <c r="F9" s="16">
        <v>46313</v>
      </c>
    </row>
    <row r="10" spans="1:12">
      <c r="A10" s="2" t="s">
        <v>54</v>
      </c>
      <c r="B10" s="2" t="s">
        <v>29</v>
      </c>
      <c r="C10" s="2" t="s">
        <v>0</v>
      </c>
      <c r="D10" s="2" t="s">
        <v>15</v>
      </c>
      <c r="E10" s="2" t="str">
        <f>_xlfn.XLOOKUP(B10,Patients[Patient ID],Patients[Age Group],"Not found")</f>
        <v>35-49</v>
      </c>
      <c r="F10" s="16">
        <v>46314</v>
      </c>
    </row>
    <row r="11" spans="1:12">
      <c r="A11" s="2" t="s">
        <v>58</v>
      </c>
      <c r="B11" s="2" t="s">
        <v>59</v>
      </c>
      <c r="C11" s="2" t="s">
        <v>0</v>
      </c>
      <c r="D11" s="2" t="s">
        <v>15</v>
      </c>
      <c r="E11" s="2" t="str">
        <f>_xlfn.XLOOKUP(B11,Patients[Patient ID],Patients[Age Group],"Not found")</f>
        <v>35-49</v>
      </c>
      <c r="F11" s="16">
        <v>46314</v>
      </c>
    </row>
  </sheetData>
  <dataValidations count="1">
    <dataValidation type="list" allowBlank="1" showInputMessage="1" showErrorMessage="1" sqref="C2:C9" xr:uid="{11A77B75-D040-4543-A2B2-3F3368BE0DD4}">
      <formula1>"Attended,Did Not Attend,Unknown,Cancelled"</formula1>
    </dataValidation>
  </dataValidation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11F26-89D5-45E7-9603-55A9AA2CF372}">
  <dimension ref="A1:G16"/>
  <sheetViews>
    <sheetView workbookViewId="0">
      <selection activeCell="C3" sqref="C3"/>
    </sheetView>
  </sheetViews>
  <sheetFormatPr defaultRowHeight="14.4"/>
  <cols>
    <col min="1" max="1" width="18.5546875" bestFit="1" customWidth="1"/>
    <col min="2" max="2" width="13.5546875" bestFit="1" customWidth="1"/>
    <col min="3" max="3" width="10.33203125" bestFit="1" customWidth="1"/>
    <col min="4" max="4" width="20.6640625" bestFit="1" customWidth="1"/>
    <col min="5" max="5" width="12.44140625" bestFit="1" customWidth="1"/>
    <col min="6" max="6" width="16.6640625" bestFit="1" customWidth="1"/>
    <col min="7" max="7" width="13.88671875" style="2" bestFit="1" customWidth="1"/>
  </cols>
  <sheetData>
    <row r="1" spans="1:7">
      <c r="A1" s="2" t="s">
        <v>23</v>
      </c>
      <c r="B1" s="2" t="s">
        <v>24</v>
      </c>
      <c r="C1" s="2" t="s">
        <v>13</v>
      </c>
      <c r="D1" s="2" t="s">
        <v>51</v>
      </c>
      <c r="E1" s="2" t="s">
        <v>25</v>
      </c>
      <c r="F1" s="2" t="s">
        <v>55</v>
      </c>
      <c r="G1" s="2" t="s">
        <v>42</v>
      </c>
    </row>
    <row r="2" spans="1:7">
      <c r="A2" s="32" t="s">
        <v>26</v>
      </c>
      <c r="B2" s="32" t="s">
        <v>27</v>
      </c>
      <c r="C2" s="32" t="s">
        <v>15</v>
      </c>
      <c r="D2" s="16">
        <v>46266</v>
      </c>
      <c r="E2" s="32" t="s">
        <v>0</v>
      </c>
      <c r="F2" s="2" t="s">
        <v>56</v>
      </c>
      <c r="G2" s="32" t="s">
        <v>70</v>
      </c>
    </row>
    <row r="3" spans="1:7">
      <c r="A3" s="32" t="s">
        <v>30</v>
      </c>
      <c r="B3" s="32" t="s">
        <v>27</v>
      </c>
      <c r="C3" s="32" t="s">
        <v>15</v>
      </c>
      <c r="D3" s="16">
        <v>46275</v>
      </c>
      <c r="E3" s="32" t="s">
        <v>31</v>
      </c>
      <c r="F3" s="2" t="s">
        <v>56</v>
      </c>
      <c r="G3" s="32" t="s">
        <v>70</v>
      </c>
    </row>
    <row r="4" spans="1:7">
      <c r="A4" s="32" t="s">
        <v>49</v>
      </c>
      <c r="B4" s="32" t="s">
        <v>27</v>
      </c>
      <c r="C4" s="32" t="s">
        <v>15</v>
      </c>
      <c r="D4" s="16">
        <v>46313</v>
      </c>
      <c r="E4" s="32" t="s">
        <v>0</v>
      </c>
      <c r="F4" s="2" t="s">
        <v>56</v>
      </c>
      <c r="G4" s="32" t="s">
        <v>70</v>
      </c>
    </row>
    <row r="5" spans="1:7">
      <c r="A5" s="32" t="s">
        <v>28</v>
      </c>
      <c r="B5" s="32" t="s">
        <v>29</v>
      </c>
      <c r="C5" s="32" t="s">
        <v>15</v>
      </c>
      <c r="D5" s="16">
        <v>46270</v>
      </c>
      <c r="E5" s="32" t="s">
        <v>2</v>
      </c>
      <c r="F5" s="2" t="s">
        <v>56</v>
      </c>
      <c r="G5" s="32" t="s">
        <v>44</v>
      </c>
    </row>
    <row r="6" spans="1:7">
      <c r="A6" s="32" t="s">
        <v>32</v>
      </c>
      <c r="B6" s="32" t="s">
        <v>33</v>
      </c>
      <c r="C6" s="32" t="s">
        <v>16</v>
      </c>
      <c r="D6" s="16">
        <v>46296</v>
      </c>
      <c r="E6" s="32" t="s">
        <v>2</v>
      </c>
      <c r="F6" s="2" t="s">
        <v>56</v>
      </c>
      <c r="G6" s="32" t="s">
        <v>46</v>
      </c>
    </row>
    <row r="7" spans="1:7">
      <c r="A7" s="32" t="s">
        <v>34</v>
      </c>
      <c r="B7" s="32" t="s">
        <v>35</v>
      </c>
      <c r="C7" s="32" t="s">
        <v>16</v>
      </c>
      <c r="D7" s="16">
        <v>46300</v>
      </c>
      <c r="E7" s="32" t="s">
        <v>0</v>
      </c>
      <c r="F7" s="2" t="s">
        <v>56</v>
      </c>
      <c r="G7" s="32" t="s">
        <v>43</v>
      </c>
    </row>
    <row r="8" spans="1:7">
      <c r="A8" s="32" t="s">
        <v>39</v>
      </c>
      <c r="B8" s="32" t="s">
        <v>40</v>
      </c>
      <c r="C8" s="32" t="s">
        <v>16</v>
      </c>
      <c r="D8" s="16">
        <v>46305</v>
      </c>
      <c r="E8" s="32" t="s">
        <v>0</v>
      </c>
      <c r="F8" s="2" t="s">
        <v>56</v>
      </c>
      <c r="G8" s="32" t="s">
        <v>44</v>
      </c>
    </row>
    <row r="9" spans="1:7">
      <c r="A9" s="32" t="s">
        <v>47</v>
      </c>
      <c r="B9" s="32" t="s">
        <v>45</v>
      </c>
      <c r="C9" s="32" t="s">
        <v>16</v>
      </c>
      <c r="D9" s="16">
        <v>46310</v>
      </c>
      <c r="E9" s="32" t="s">
        <v>0</v>
      </c>
      <c r="F9" s="2" t="s">
        <v>56</v>
      </c>
      <c r="G9" s="32" t="s">
        <v>46</v>
      </c>
    </row>
    <row r="10" spans="1:7">
      <c r="A10" s="32" t="s">
        <v>54</v>
      </c>
      <c r="B10" s="32" t="s">
        <v>29</v>
      </c>
      <c r="C10" s="32" t="s">
        <v>15</v>
      </c>
      <c r="D10" s="16">
        <v>46314</v>
      </c>
      <c r="E10" s="32" t="s">
        <v>0</v>
      </c>
      <c r="F10" s="2" t="s">
        <v>56</v>
      </c>
      <c r="G10" s="32" t="s">
        <v>44</v>
      </c>
    </row>
    <row r="11" spans="1:7">
      <c r="A11" s="32" t="s">
        <v>58</v>
      </c>
      <c r="B11" s="32" t="s">
        <v>59</v>
      </c>
      <c r="C11" s="32" t="s">
        <v>15</v>
      </c>
      <c r="D11" s="16">
        <v>46314</v>
      </c>
      <c r="E11" s="32" t="s">
        <v>0</v>
      </c>
      <c r="F11" s="2" t="s">
        <v>56</v>
      </c>
      <c r="G11" s="32" t="s">
        <v>44</v>
      </c>
    </row>
    <row r="12" spans="1:7">
      <c r="A12" s="32" t="s">
        <v>60</v>
      </c>
      <c r="B12" s="32" t="s">
        <v>29</v>
      </c>
      <c r="C12" s="32" t="s">
        <v>15</v>
      </c>
      <c r="D12" s="16">
        <v>46315</v>
      </c>
      <c r="E12" s="32" t="s">
        <v>0</v>
      </c>
      <c r="F12" s="2" t="s">
        <v>56</v>
      </c>
      <c r="G12" s="32" t="s">
        <v>44</v>
      </c>
    </row>
    <row r="13" spans="1:7">
      <c r="A13" s="32" t="s">
        <v>68</v>
      </c>
      <c r="B13" s="32" t="s">
        <v>29</v>
      </c>
      <c r="C13" s="32" t="s">
        <v>15</v>
      </c>
      <c r="D13" s="16">
        <v>46316</v>
      </c>
      <c r="E13" s="32" t="s">
        <v>0</v>
      </c>
      <c r="F13" s="2" t="s">
        <v>56</v>
      </c>
      <c r="G13" s="32" t="s">
        <v>44</v>
      </c>
    </row>
    <row r="14" spans="1:7">
      <c r="A14" s="32" t="s">
        <v>61</v>
      </c>
      <c r="B14" s="32" t="s">
        <v>33</v>
      </c>
      <c r="C14" s="32" t="s">
        <v>16</v>
      </c>
      <c r="D14" s="16">
        <v>46315</v>
      </c>
      <c r="E14" s="32" t="s">
        <v>31</v>
      </c>
      <c r="F14" s="2" t="s">
        <v>56</v>
      </c>
      <c r="G14" s="32" t="s">
        <v>46</v>
      </c>
    </row>
    <row r="15" spans="1:7">
      <c r="A15" s="32" t="s">
        <v>71</v>
      </c>
      <c r="B15" s="32" t="s">
        <v>33</v>
      </c>
      <c r="C15" s="32" t="s">
        <v>16</v>
      </c>
      <c r="D15" s="16">
        <v>46316</v>
      </c>
      <c r="E15" s="32" t="s">
        <v>0</v>
      </c>
      <c r="F15" s="2" t="s">
        <v>56</v>
      </c>
      <c r="G15" s="32" t="s">
        <v>46</v>
      </c>
    </row>
    <row r="16" spans="1:7">
      <c r="A16" s="32" t="s">
        <v>62</v>
      </c>
      <c r="B16" s="32" t="s">
        <v>35</v>
      </c>
      <c r="C16" s="32" t="s">
        <v>16</v>
      </c>
      <c r="D16" s="16">
        <v>46316</v>
      </c>
      <c r="E16" s="32" t="s">
        <v>31</v>
      </c>
      <c r="F16" s="2" t="s">
        <v>56</v>
      </c>
      <c r="G16" s="32" t="s">
        <v>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C927D-A093-4879-858A-BDDE1CA99D24}">
  <dimension ref="A1:E6"/>
  <sheetViews>
    <sheetView tabSelected="1" workbookViewId="0">
      <selection activeCell="E7" sqref="E7"/>
    </sheetView>
  </sheetViews>
  <sheetFormatPr defaultRowHeight="14.4"/>
  <cols>
    <col min="1" max="1" width="18.5546875" style="2" bestFit="1" customWidth="1"/>
    <col min="2" max="2" width="13.5546875" style="2" bestFit="1" customWidth="1"/>
    <col min="3" max="3" width="12.44140625" style="2" bestFit="1" customWidth="1"/>
    <col min="4" max="4" width="10.33203125" style="2" bestFit="1" customWidth="1"/>
    <col min="5" max="5" width="20.6640625" style="2" bestFit="1" customWidth="1"/>
    <col min="6" max="16384" width="8.88671875" style="2"/>
  </cols>
  <sheetData>
    <row r="1" spans="1:5">
      <c r="A1" s="2" t="s">
        <v>23</v>
      </c>
      <c r="B1" s="2" t="s">
        <v>24</v>
      </c>
      <c r="C1" s="2" t="s">
        <v>25</v>
      </c>
      <c r="D1" s="2" t="s">
        <v>13</v>
      </c>
      <c r="E1" s="2" t="s">
        <v>51</v>
      </c>
    </row>
    <row r="2" spans="1:5">
      <c r="A2" s="2" t="s">
        <v>60</v>
      </c>
      <c r="B2" s="2" t="s">
        <v>29</v>
      </c>
      <c r="C2" s="2" t="s">
        <v>0</v>
      </c>
      <c r="D2" s="2" t="s">
        <v>15</v>
      </c>
      <c r="E2" s="16">
        <v>46315</v>
      </c>
    </row>
    <row r="3" spans="1:5">
      <c r="A3" s="2" t="s">
        <v>61</v>
      </c>
      <c r="B3" s="2" t="s">
        <v>33</v>
      </c>
      <c r="C3" s="2" t="s">
        <v>31</v>
      </c>
      <c r="D3" s="2" t="s">
        <v>16</v>
      </c>
      <c r="E3" s="16">
        <v>46315</v>
      </c>
    </row>
    <row r="4" spans="1:5">
      <c r="A4" s="2" t="s">
        <v>62</v>
      </c>
      <c r="B4" s="2" t="s">
        <v>35</v>
      </c>
      <c r="C4" s="2" t="s">
        <v>22</v>
      </c>
      <c r="D4" s="2" t="s">
        <v>16</v>
      </c>
      <c r="E4" s="17">
        <v>46316</v>
      </c>
    </row>
    <row r="5" spans="1:5">
      <c r="A5" s="2" t="s">
        <v>68</v>
      </c>
      <c r="B5" s="2" t="s">
        <v>29</v>
      </c>
      <c r="C5" s="2" t="s">
        <v>0</v>
      </c>
      <c r="D5" s="2" t="s">
        <v>15</v>
      </c>
      <c r="E5" s="16">
        <v>46316</v>
      </c>
    </row>
    <row r="6" spans="1:5">
      <c r="A6" s="2" t="s">
        <v>71</v>
      </c>
      <c r="B6" s="2" t="s">
        <v>33</v>
      </c>
      <c r="C6" s="2" t="s">
        <v>0</v>
      </c>
      <c r="D6" s="2" t="s">
        <v>16</v>
      </c>
      <c r="E6" s="16">
        <v>46316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4D667-7A5B-4AD8-8614-94BC22454803}">
  <dimension ref="A1:G2"/>
  <sheetViews>
    <sheetView workbookViewId="0"/>
  </sheetViews>
  <sheetFormatPr defaultRowHeight="14.4"/>
  <cols>
    <col min="1" max="1" width="16.33203125" bestFit="1" customWidth="1"/>
    <col min="2" max="2" width="11.33203125" bestFit="1" customWidth="1"/>
    <col min="3" max="3" width="8.109375" bestFit="1" customWidth="1"/>
    <col min="4" max="4" width="18.44140625" bestFit="1" customWidth="1"/>
    <col min="5" max="5" width="8.5546875" bestFit="1" customWidth="1"/>
    <col min="6" max="6" width="14.44140625" bestFit="1" customWidth="1"/>
    <col min="7" max="7" width="11.6640625" bestFit="1" customWidth="1"/>
  </cols>
  <sheetData>
    <row r="1" spans="1:7">
      <c r="A1" t="s">
        <v>23</v>
      </c>
      <c r="B1" t="s">
        <v>24</v>
      </c>
      <c r="C1" t="s">
        <v>13</v>
      </c>
      <c r="D1" t="s">
        <v>51</v>
      </c>
      <c r="E1" t="s">
        <v>25</v>
      </c>
      <c r="F1" t="s">
        <v>55</v>
      </c>
      <c r="G1" t="s">
        <v>42</v>
      </c>
    </row>
    <row r="2" spans="1:7">
      <c r="D2" s="15"/>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03631-9E2A-4ED2-9E4F-C8FD481B2080}">
  <dimension ref="A1:B1"/>
  <sheetViews>
    <sheetView workbookViewId="0"/>
  </sheetViews>
  <sheetFormatPr defaultRowHeight="14.4"/>
  <cols>
    <col min="1" max="1" width="11.33203125" bestFit="1" customWidth="1"/>
    <col min="2" max="2" width="11.5546875" bestFit="1" customWidth="1"/>
  </cols>
  <sheetData>
    <row r="1" spans="1:2">
      <c r="A1" t="s">
        <v>24</v>
      </c>
      <c r="B1" t="s">
        <v>57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78A45-5F55-4324-99EC-1A584662ACEF}">
  <dimension ref="A1:B1"/>
  <sheetViews>
    <sheetView workbookViewId="0"/>
  </sheetViews>
  <sheetFormatPr defaultRowHeight="14.4"/>
  <cols>
    <col min="1" max="1" width="16.33203125" bestFit="1" customWidth="1"/>
    <col min="2" max="2" width="11.5546875" bestFit="1" customWidth="1"/>
  </cols>
  <sheetData>
    <row r="1" spans="1:2">
      <c r="A1" t="s">
        <v>23</v>
      </c>
      <c r="B1" t="s">
        <v>57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0113F-3A63-40FC-B09A-F32FF81E754C}">
  <dimension ref="A1:G2"/>
  <sheetViews>
    <sheetView workbookViewId="0"/>
  </sheetViews>
  <sheetFormatPr defaultRowHeight="14.4"/>
  <cols>
    <col min="1" max="1" width="16.33203125" bestFit="1" customWidth="1"/>
    <col min="2" max="2" width="11.33203125" bestFit="1" customWidth="1"/>
    <col min="3" max="3" width="8.109375" bestFit="1" customWidth="1"/>
    <col min="4" max="4" width="18.44140625" bestFit="1" customWidth="1"/>
    <col min="5" max="5" width="8.5546875" bestFit="1" customWidth="1"/>
    <col min="6" max="6" width="14.44140625" bestFit="1" customWidth="1"/>
    <col min="7" max="7" width="11.6640625" bestFit="1" customWidth="1"/>
  </cols>
  <sheetData>
    <row r="1" spans="1:7">
      <c r="A1" t="s">
        <v>23</v>
      </c>
      <c r="B1" t="s">
        <v>24</v>
      </c>
      <c r="C1" t="s">
        <v>13</v>
      </c>
      <c r="D1" t="s">
        <v>51</v>
      </c>
      <c r="E1" t="s">
        <v>25</v>
      </c>
      <c r="F1" t="s">
        <v>55</v>
      </c>
      <c r="G1" t="s">
        <v>42</v>
      </c>
    </row>
    <row r="2" spans="1:7">
      <c r="D2" s="15"/>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49B0D-4954-4CF6-A703-225B7A35CCB7}">
  <dimension ref="A1:H11"/>
  <sheetViews>
    <sheetView zoomScale="98" workbookViewId="0">
      <selection activeCell="H2" sqref="H2"/>
    </sheetView>
  </sheetViews>
  <sheetFormatPr defaultRowHeight="14.4"/>
  <cols>
    <col min="1" max="1" width="8.88671875" style="2" bestFit="1" customWidth="1"/>
    <col min="2" max="2" width="13" style="2" bestFit="1" customWidth="1"/>
    <col min="3" max="3" width="8.77734375" style="2" bestFit="1" customWidth="1"/>
    <col min="4" max="4" width="45.109375" style="2" bestFit="1" customWidth="1"/>
    <col min="5" max="5" width="43" style="2" bestFit="1" customWidth="1"/>
    <col min="6" max="6" width="57.77734375" style="2" bestFit="1" customWidth="1"/>
    <col min="7" max="7" width="22.5546875" style="2" bestFit="1" customWidth="1"/>
    <col min="8" max="8" width="8.109375" style="2" customWidth="1"/>
    <col min="9" max="16384" width="8.88671875" style="2"/>
  </cols>
  <sheetData>
    <row r="1" spans="1:8" s="5" customFormat="1">
      <c r="A1" s="5" t="s">
        <v>0</v>
      </c>
      <c r="B1" s="5" t="s">
        <v>1</v>
      </c>
      <c r="C1" s="5" t="s">
        <v>2</v>
      </c>
      <c r="D1" s="5" t="s">
        <v>3</v>
      </c>
      <c r="E1" s="5" t="s">
        <v>4</v>
      </c>
      <c r="F1" s="5" t="s">
        <v>5</v>
      </c>
      <c r="G1" s="5" t="s">
        <v>6</v>
      </c>
    </row>
    <row r="2" spans="1:8">
      <c r="A2" s="2">
        <v>8</v>
      </c>
      <c r="B2" s="2">
        <v>2</v>
      </c>
      <c r="C2" s="2">
        <v>10</v>
      </c>
      <c r="D2" s="3">
        <f>IF(A2+B2=0,"No known statuses",A2/(A2+B2))</f>
        <v>0.8</v>
      </c>
      <c r="E2" s="3">
        <f>C2 / (A2 + B2 + C2)</f>
        <v>0.5</v>
      </c>
      <c r="F2" s="3">
        <f>IF(A2+B2=0,"No known statuses",B2/(A2+B2))</f>
        <v>0.2</v>
      </c>
      <c r="G2" s="2" t="str">
        <f>IF(E2 &gt; $H$2, "Review missing statuses", "Within threshold")</f>
        <v>Review missing statuses</v>
      </c>
      <c r="H2" s="3">
        <v>0.2</v>
      </c>
    </row>
    <row r="3" spans="1:8">
      <c r="A3" s="4">
        <v>40</v>
      </c>
      <c r="B3" s="4">
        <v>40</v>
      </c>
      <c r="C3" s="4">
        <v>20</v>
      </c>
      <c r="D3" s="3">
        <f t="shared" ref="D3:D4" si="0">IF(A3+B3=0,"No known statuses",A3/(A3+B3))</f>
        <v>0.5</v>
      </c>
      <c r="E3" s="3">
        <f t="shared" ref="E3:E4" si="1">C3 / (A3 + B3 + C3)</f>
        <v>0.2</v>
      </c>
      <c r="F3" s="3">
        <f t="shared" ref="F3:F4" si="2">IF(A3+B3=0,"No known statuses",B3/(A3+B3))</f>
        <v>0.5</v>
      </c>
      <c r="G3" s="2" t="str">
        <f t="shared" ref="G3:G4" si="3">IF(E3 &gt; $H$2, "Review missing statuses", "Within threshold")</f>
        <v>Within threshold</v>
      </c>
    </row>
    <row r="4" spans="1:8">
      <c r="A4" s="4">
        <v>0</v>
      </c>
      <c r="B4" s="4">
        <v>0</v>
      </c>
      <c r="C4" s="4">
        <v>5</v>
      </c>
      <c r="D4" s="3" t="str">
        <f t="shared" si="0"/>
        <v>No known statuses</v>
      </c>
      <c r="E4" s="3">
        <f t="shared" si="1"/>
        <v>1</v>
      </c>
      <c r="F4" s="3" t="str">
        <f t="shared" si="2"/>
        <v>No known statuses</v>
      </c>
      <c r="G4" s="2" t="str">
        <f t="shared" si="3"/>
        <v>Review missing statuses</v>
      </c>
    </row>
    <row r="6" spans="1:8">
      <c r="F6" s="5" t="s">
        <v>7</v>
      </c>
      <c r="G6" s="2">
        <f>COUNTIF(G2:G4, "Review missing statuses")</f>
        <v>2</v>
      </c>
    </row>
    <row r="7" spans="1:8">
      <c r="F7" s="5" t="s">
        <v>8</v>
      </c>
      <c r="G7" s="2">
        <f>SUMIF(G2:G4, "Review missing statuses", C2:C4)</f>
        <v>15</v>
      </c>
    </row>
    <row r="8" spans="1:8">
      <c r="F8" s="5" t="s">
        <v>9</v>
      </c>
      <c r="G8" s="2">
        <f>COUNTIFS(G2:G4, "Review missing statuses", C2:C4, "&gt;5")</f>
        <v>1</v>
      </c>
    </row>
    <row r="9" spans="1:8">
      <c r="F9" s="5" t="s">
        <v>10</v>
      </c>
      <c r="G9" s="2">
        <f>COUNTIFS(C2:C4, "&gt;=10", A2:A4, "&gt;0")</f>
        <v>2</v>
      </c>
    </row>
    <row r="10" spans="1:8">
      <c r="F10" s="5" t="s">
        <v>11</v>
      </c>
      <c r="G10" s="2">
        <f>SUMIFS(A2:A4, C2:C4, "&gt;=10", A2:A4, "&gt;0")</f>
        <v>48</v>
      </c>
    </row>
    <row r="11" spans="1:8">
      <c r="F11" s="5" t="s">
        <v>12</v>
      </c>
      <c r="G11" s="6">
        <f>SUM(A2:A4)/(SUM(A2:A4)+SUM(B2:B4))</f>
        <v>0.53333333333333333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E42A2-A7A5-4188-8ABB-677307BABDE1}">
  <dimension ref="A1:H6"/>
  <sheetViews>
    <sheetView workbookViewId="0">
      <selection activeCell="H2" sqref="H2"/>
    </sheetView>
  </sheetViews>
  <sheetFormatPr defaultColWidth="16.21875" defaultRowHeight="14.4"/>
  <cols>
    <col min="1" max="1" width="5.88671875" style="2" bestFit="1" customWidth="1"/>
    <col min="2" max="2" width="8.6640625" style="2" bestFit="1" customWidth="1"/>
    <col min="3" max="3" width="12.6640625" style="2" bestFit="1" customWidth="1"/>
    <col min="4" max="4" width="8.5546875" style="2" bestFit="1" customWidth="1"/>
    <col min="5" max="5" width="36.33203125" style="2" bestFit="1" customWidth="1"/>
    <col min="6" max="6" width="16.21875" style="2"/>
    <col min="7" max="7" width="24.33203125" style="2" bestFit="1" customWidth="1"/>
    <col min="8" max="8" width="35.5546875" style="2" bestFit="1" customWidth="1"/>
    <col min="9" max="16384" width="16.21875" style="2"/>
  </cols>
  <sheetData>
    <row r="1" spans="1:8">
      <c r="A1" s="7" t="s">
        <v>13</v>
      </c>
      <c r="B1" s="7" t="s">
        <v>0</v>
      </c>
      <c r="C1" s="7" t="s">
        <v>14</v>
      </c>
      <c r="D1" s="7" t="s">
        <v>2</v>
      </c>
    </row>
    <row r="2" spans="1:8">
      <c r="A2" s="4" t="s">
        <v>15</v>
      </c>
      <c r="B2" s="4">
        <v>18</v>
      </c>
      <c r="C2" s="4">
        <v>6</v>
      </c>
      <c r="D2" s="4">
        <v>6</v>
      </c>
      <c r="E2" s="8">
        <f>IF(B2 + C2 &gt; 0,  B2 / (B2 + C2), "No known statuses")</f>
        <v>0.75</v>
      </c>
      <c r="F2" s="8">
        <f>D2 / SUM(B2:D2)</f>
        <v>0.2</v>
      </c>
      <c r="G2" s="5" t="s">
        <v>19</v>
      </c>
      <c r="H2" s="6">
        <f>AVERAGE(E2:E3)</f>
        <v>0.67500000000000004</v>
      </c>
    </row>
    <row r="3" spans="1:8">
      <c r="A3" s="4" t="s">
        <v>16</v>
      </c>
      <c r="B3" s="4">
        <v>30</v>
      </c>
      <c r="C3" s="4">
        <v>20</v>
      </c>
      <c r="D3" s="4">
        <v>0</v>
      </c>
      <c r="E3" s="8">
        <f t="shared" ref="E3:E4" si="0">IF(B3 + C3 &gt; 0,  B3 / (B3 + C3), "No known statuses")</f>
        <v>0.6</v>
      </c>
      <c r="F3" s="8">
        <f t="shared" ref="F3:F4" si="1">D3 / SUM(B3:D3)</f>
        <v>0</v>
      </c>
      <c r="H3" s="10" t="s">
        <v>20</v>
      </c>
    </row>
    <row r="4" spans="1:8" ht="43.2">
      <c r="A4" s="4" t="s">
        <v>17</v>
      </c>
      <c r="B4" s="4">
        <v>0</v>
      </c>
      <c r="C4" s="4">
        <v>0</v>
      </c>
      <c r="D4" s="4">
        <v>8</v>
      </c>
      <c r="E4" s="8" t="str">
        <f t="shared" si="0"/>
        <v>No known statuses</v>
      </c>
      <c r="F4" s="8">
        <f t="shared" si="1"/>
        <v>1</v>
      </c>
      <c r="H4" s="9" t="s">
        <v>21</v>
      </c>
    </row>
    <row r="6" spans="1:8">
      <c r="E6" s="1" t="s">
        <v>18</v>
      </c>
      <c r="F6" s="8">
        <f>SUM(B2:B4) / (SUM(B2:B4) + SUM(C2:C4))</f>
        <v>0.64864864864864868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D4964-6307-4C3F-8D88-2445609FA724}">
  <dimension ref="A3:E9"/>
  <sheetViews>
    <sheetView zoomScaleNormal="100" workbookViewId="0">
      <selection activeCell="E8" sqref="E8"/>
    </sheetView>
  </sheetViews>
  <sheetFormatPr defaultRowHeight="14.4"/>
  <cols>
    <col min="1" max="1" width="21.44140625" bestFit="1" customWidth="1"/>
    <col min="2" max="2" width="15.5546875" bestFit="1" customWidth="1"/>
    <col min="3" max="3" width="13.21875" bestFit="1" customWidth="1"/>
    <col min="4" max="4" width="8.5546875" bestFit="1" customWidth="1"/>
    <col min="5" max="6" width="10.5546875" bestFit="1" customWidth="1"/>
    <col min="7" max="7" width="8.5546875" bestFit="1" customWidth="1"/>
    <col min="8" max="8" width="26" bestFit="1" customWidth="1"/>
    <col min="9" max="9" width="27" bestFit="1" customWidth="1"/>
  </cols>
  <sheetData>
    <row r="3" spans="1:5">
      <c r="A3" s="11" t="s">
        <v>38</v>
      </c>
      <c r="B3" s="11" t="s">
        <v>41</v>
      </c>
    </row>
    <row r="4" spans="1:5">
      <c r="A4" s="11" t="s">
        <v>36</v>
      </c>
      <c r="B4" t="s">
        <v>0</v>
      </c>
      <c r="C4" t="s">
        <v>31</v>
      </c>
      <c r="D4" t="s">
        <v>2</v>
      </c>
      <c r="E4" t="s">
        <v>37</v>
      </c>
    </row>
    <row r="5" spans="1:5">
      <c r="A5" s="12" t="s">
        <v>44</v>
      </c>
      <c r="B5" s="31">
        <v>3</v>
      </c>
      <c r="C5" s="31"/>
      <c r="D5" s="31">
        <v>1</v>
      </c>
      <c r="E5" s="31">
        <v>4</v>
      </c>
    </row>
    <row r="6" spans="1:5">
      <c r="A6" s="12" t="s">
        <v>46</v>
      </c>
      <c r="B6" s="31">
        <v>1</v>
      </c>
      <c r="C6" s="31"/>
      <c r="D6" s="31">
        <v>1</v>
      </c>
      <c r="E6" s="31">
        <v>2</v>
      </c>
    </row>
    <row r="7" spans="1:5">
      <c r="A7" s="12" t="s">
        <v>43</v>
      </c>
      <c r="B7" s="31">
        <v>1</v>
      </c>
      <c r="C7" s="31"/>
      <c r="D7" s="31"/>
      <c r="E7" s="31">
        <v>1</v>
      </c>
    </row>
    <row r="8" spans="1:5">
      <c r="A8" s="12" t="s">
        <v>70</v>
      </c>
      <c r="B8" s="31">
        <v>2</v>
      </c>
      <c r="C8" s="31">
        <v>1</v>
      </c>
      <c r="D8" s="31"/>
      <c r="E8" s="31">
        <v>3</v>
      </c>
    </row>
    <row r="9" spans="1:5">
      <c r="A9" s="12" t="s">
        <v>37</v>
      </c>
      <c r="B9" s="31">
        <v>7</v>
      </c>
      <c r="C9" s="31">
        <v>1</v>
      </c>
      <c r="D9" s="31">
        <v>2</v>
      </c>
      <c r="E9" s="31">
        <v>10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BF7D2-8ACB-48CF-B20D-1CCE180C9930}">
  <dimension ref="A1:B4"/>
  <sheetViews>
    <sheetView workbookViewId="0">
      <selection activeCell="A3" sqref="A3"/>
    </sheetView>
  </sheetViews>
  <sheetFormatPr defaultRowHeight="14.4"/>
  <cols>
    <col min="1" max="1" width="13.5546875" bestFit="1" customWidth="1"/>
    <col min="2" max="2" width="23.44140625" bestFit="1" customWidth="1"/>
  </cols>
  <sheetData>
    <row r="1" spans="1:2">
      <c r="A1" s="11" t="s">
        <v>25</v>
      </c>
      <c r="B1" t="s" vm="1">
        <v>0</v>
      </c>
    </row>
    <row r="3" spans="1:2">
      <c r="A3" t="s">
        <v>50</v>
      </c>
      <c r="B3" t="s">
        <v>48</v>
      </c>
    </row>
    <row r="4" spans="1:2">
      <c r="A4" s="31">
        <v>7</v>
      </c>
      <c r="B4" s="31">
        <v>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B5EBC-756B-4F51-B95E-87B679E5F8DC}">
  <dimension ref="A3:D7"/>
  <sheetViews>
    <sheetView workbookViewId="0">
      <selection activeCell="A4" sqref="A4:B4"/>
    </sheetView>
  </sheetViews>
  <sheetFormatPr defaultRowHeight="14.4"/>
  <cols>
    <col min="1" max="1" width="21.44140625" bestFit="1" customWidth="1"/>
    <col min="2" max="2" width="15.5546875" bestFit="1" customWidth="1"/>
    <col min="3" max="3" width="8.5546875" bestFit="1" customWidth="1"/>
    <col min="4" max="5" width="10.5546875" bestFit="1" customWidth="1"/>
  </cols>
  <sheetData>
    <row r="3" spans="1:4">
      <c r="A3" s="11" t="s">
        <v>38</v>
      </c>
      <c r="B3" s="11" t="s">
        <v>41</v>
      </c>
    </row>
    <row r="4" spans="1:4">
      <c r="A4" s="11" t="s">
        <v>36</v>
      </c>
      <c r="B4" t="s">
        <v>0</v>
      </c>
      <c r="C4" t="s">
        <v>2</v>
      </c>
      <c r="D4" t="s">
        <v>37</v>
      </c>
    </row>
    <row r="5" spans="1:4">
      <c r="A5" s="12" t="s">
        <v>53</v>
      </c>
      <c r="B5" s="31">
        <v>3</v>
      </c>
      <c r="C5" s="31">
        <v>1</v>
      </c>
      <c r="D5" s="31">
        <v>4</v>
      </c>
    </row>
    <row r="6" spans="1:4">
      <c r="A6" s="13" t="s">
        <v>52</v>
      </c>
      <c r="B6" s="31">
        <v>3</v>
      </c>
      <c r="C6" s="31">
        <v>1</v>
      </c>
      <c r="D6" s="31">
        <v>4</v>
      </c>
    </row>
    <row r="7" spans="1:4">
      <c r="A7" s="12" t="s">
        <v>37</v>
      </c>
      <c r="B7" s="31">
        <v>3</v>
      </c>
      <c r="C7" s="31">
        <v>1</v>
      </c>
      <c r="D7" s="31">
        <v>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03D68-2CC6-4EA7-BFB7-EE52FDD57A20}">
  <dimension ref="A3:E7"/>
  <sheetViews>
    <sheetView workbookViewId="0">
      <selection activeCell="B5" sqref="B5:D6"/>
    </sheetView>
  </sheetViews>
  <sheetFormatPr defaultRowHeight="14.4"/>
  <cols>
    <col min="1" max="1" width="21.44140625" bestFit="1" customWidth="1"/>
    <col min="2" max="2" width="15.5546875" bestFit="1" customWidth="1"/>
    <col min="3" max="3" width="13.21875" bestFit="1" customWidth="1"/>
    <col min="4" max="4" width="8.5546875" bestFit="1" customWidth="1"/>
    <col min="5" max="5" width="10.5546875" bestFit="1" customWidth="1"/>
  </cols>
  <sheetData>
    <row r="3" spans="1:5">
      <c r="A3" s="11" t="s">
        <v>38</v>
      </c>
      <c r="B3" s="11" t="s">
        <v>41</v>
      </c>
    </row>
    <row r="4" spans="1:5">
      <c r="A4" s="11" t="s">
        <v>36</v>
      </c>
      <c r="B4" t="s">
        <v>0</v>
      </c>
      <c r="C4" t="s">
        <v>31</v>
      </c>
      <c r="D4" t="s">
        <v>2</v>
      </c>
      <c r="E4" t="s">
        <v>37</v>
      </c>
    </row>
    <row r="5" spans="1:5">
      <c r="A5" s="12" t="s">
        <v>15</v>
      </c>
      <c r="B5" s="31">
        <v>6</v>
      </c>
      <c r="C5" s="31">
        <v>1</v>
      </c>
      <c r="D5" s="31">
        <v>1</v>
      </c>
      <c r="E5" s="31">
        <v>8</v>
      </c>
    </row>
    <row r="6" spans="1:5">
      <c r="A6" s="12" t="s">
        <v>16</v>
      </c>
      <c r="B6" s="31">
        <v>3</v>
      </c>
      <c r="C6" s="31">
        <v>2</v>
      </c>
      <c r="D6" s="31">
        <v>1</v>
      </c>
      <c r="E6" s="31">
        <v>6</v>
      </c>
    </row>
    <row r="7" spans="1:5">
      <c r="A7" s="12" t="s">
        <v>37</v>
      </c>
      <c r="B7" s="31">
        <v>9</v>
      </c>
      <c r="C7" s="31">
        <v>3</v>
      </c>
      <c r="D7" s="31">
        <v>2</v>
      </c>
      <c r="E7" s="31">
        <v>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6E46D6-3CB3-4BA3-9EA9-DB635478BA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Report</vt:lpstr>
      <vt:lpstr>SourceTable</vt:lpstr>
      <vt:lpstr>CleanAppointments</vt:lpstr>
      <vt:lpstr>NewAppointments</vt:lpstr>
      <vt:lpstr>StatusReviewQueue</vt:lpstr>
      <vt:lpstr>DuplicatePatientIDs</vt:lpstr>
      <vt:lpstr>DuplicateAppointmentIDs</vt:lpstr>
      <vt:lpstr>UnmatchedPatients</vt:lpstr>
      <vt:lpstr>Sheet1</vt:lpstr>
      <vt:lpstr>Sheet2</vt:lpstr>
      <vt:lpstr>Sheet5</vt:lpstr>
      <vt:lpstr>Sheet6</vt:lpstr>
      <vt:lpstr>Sheet9</vt:lpstr>
      <vt:lpstr>Sheet12</vt:lpstr>
      <vt:lpstr>Report!Print_Area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El Maghraby</dc:creator>
  <cp:lastModifiedBy>Ali El Maghraby</cp:lastModifiedBy>
  <cp:lastPrinted>2026-10-19T17:43:11Z</cp:lastPrinted>
  <dcterms:created xsi:type="dcterms:W3CDTF">2026-10-18T09:49:25Z</dcterms:created>
  <dcterms:modified xsi:type="dcterms:W3CDTF">2026-10-21T14:39:49Z</dcterms:modified>
</cp:coreProperties>
</file>